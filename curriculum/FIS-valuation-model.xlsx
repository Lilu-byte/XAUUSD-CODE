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تاریخی" sheetId="2" state="visible" r:id="rId4"/>
    <sheet name="مفروضات" sheetId="3" state="visible" r:id="rId5"/>
    <sheet name="مدل" sheetId="4" state="visible" r:id="rId6"/>
    <sheet name="ارزش‌گذاری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6" authorId="0">
      <text>
        <r>
          <rPr>
            <sz val="10"/>
            <rFont val="FreeSans"/>
            <family val="2"/>
          </rPr>
          <t xml:space="preserve">نمونه: نتیجه همین مدل با داده‌های فرضی در هر سناریو. پس از وارد کردن اعداد شرکت خودتان، دوباره ثبت کنید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<sst xmlns="http://schemas.openxmlformats.org/spreadsheetml/2006/main" count="300" uniqueCount="229">
  <si>
    <t xml:space="preserve">مدل مالی یکپارچه FIS: الگوی آموزشی</t>
  </si>
  <si>
    <t xml:space="preserve">آموزشی، نه توصیه سرمایه‌گذاری. اعداد فعلی یک شرکت فرضی هستند؛ با اعداد شرکت خودتان از کدال جایگزین کنید.</t>
  </si>
  <si>
    <t xml:space="preserve">ترتیب کار</t>
  </si>
  <si>
    <t xml:space="preserve">۱. برگه «تاریخی»: دو سال آخر صورت‌های مالی را از کدال وارد کنید (فقط سلول‌های آبی).</t>
  </si>
  <si>
    <t xml:space="preserve">۲. برگه «مفروضات»: سناریو (۱ بد، ۲ پایه، ۳ خوب)، تورم، مالیات، دوره‌های وصول و پرداخت، و نرخ‌های تنزیل را تنظیم کنید.</t>
  </si>
  <si>
    <t xml:space="preserve">۳. برگه «مدل»: صورت سود و زیان، ترازنامه و جریان وجوه نقد ۵ سال آینده خودکار ساخته می‌شود. ردیف «کنترل تراز» باید صفر باشد.</t>
  </si>
  <si>
    <t xml:space="preserve">۴. برگه «ارزش‌گذاری»: FCFF، نرخ تنزیل، ارزش نهایی، جدول حساسیت، ضریب EV/EBITDA و جدول دامنه ارزش.</t>
  </si>
  <si>
    <t xml:space="preserve">۵. سناریو را ۱، ۲ و ۳ کنید و ارزش هر سهم را در جدول «ثبت سناریوها» تایپ کنید تا ارزش وزنی و دامنه به دست آید.</t>
  </si>
  <si>
    <t xml:space="preserve">رنگ‌ها</t>
  </si>
  <si>
    <t xml:space="preserve">آبی: ورودی که خودتان وارد می‌کنید · سیاه: فرمول · سبز: پیوند به برگه دیگر · زمینه زرد: مفروضات کلیدی که بیشترین اثر را دارند.</t>
  </si>
  <si>
    <t xml:space="preserve">واحدها و علامت‌ها</t>
  </si>
  <si>
    <t xml:space="preserve">همه مبالغ به میلیون ریال، مثل کدال. EPS و قیمت هر سهم به ریال. تعداد سهام به میلیون سهم (سرمایه ÷ ۱,۰۰۰).</t>
  </si>
  <si>
    <t xml:space="preserve">هزینه‌ها را با عدد مثبت وارد کنید (در کدال داخل پرانتز هستند)؛ فرمول‌ها آن‌ها را کم می‌کنند.</t>
  </si>
  <si>
    <t xml:space="preserve">مدل اسمی است: تورم هر سال در مفروضات می‌آید و جریان نقد با WACC اسمی تنزیل می‌شود. WACC واقعی فقط برای کنترل نمایش داده می‌شود (بخش ۴.۸ سند).</t>
  </si>
  <si>
    <t xml:space="preserve">تنزیل در پایان هر سال انجام می‌شود (بدون قرارداد میانه سال).</t>
  </si>
  <si>
    <t xml:space="preserve">محدودیت‌ها</t>
  </si>
  <si>
    <t xml:space="preserve">این یک الگوی آموزشی برای یک شرکت تک‌محصولی است. برای چند محصول، ردیف‌های مقدار و نرخ را برای هر محصول تکرار کنید.</t>
  </si>
  <si>
    <t xml:space="preserve">نتیجه یک دامنه است، نه یک عدد. پیش از هر تصمیم، کیفیت سود (بخش ۴.۱) و پرچم‌های قرمز (بخش ۴.۷) را بررسی کنید.</t>
  </si>
  <si>
    <t xml:space="preserve">داده‌های تاریخی از کدال (میلیون ریال)</t>
  </si>
  <si>
    <t xml:space="preserve">نمونه فرضی؛ ستون‌های B و C را با دو سال آخر شرکت خودتان جایگزین کنید.</t>
  </si>
  <si>
    <t xml:space="preserve">شرح</t>
  </si>
  <si>
    <t xml:space="preserve">دو سال قبل</t>
  </si>
  <si>
    <t xml:space="preserve">سال پایه</t>
  </si>
  <si>
    <t xml:space="preserve">منبع در کدال</t>
  </si>
  <si>
    <t xml:space="preserve">مقدار فروش (تن)</t>
  </si>
  <si>
    <t xml:space="preserve">گزارش فعالیت ماهانه (جمع ۱۲ ماه)</t>
  </si>
  <si>
    <t xml:space="preserve">درآمدهای عملیاتی</t>
  </si>
  <si>
    <t xml:space="preserve">صورت سود و زیان</t>
  </si>
  <si>
    <t xml:space="preserve">بهای تمام‌شده درآمدهای عملیاتی (مثبت)</t>
  </si>
  <si>
    <t xml:space="preserve">هزینه‌های فروش، اداری و عمومی (مثبت)</t>
  </si>
  <si>
    <t xml:space="preserve">سایر درآمدها و هزینه‌های عملیاتی (خالص، مثبت = درآمد)</t>
  </si>
  <si>
    <t xml:space="preserve">سود عملیاتی</t>
  </si>
  <si>
    <t xml:space="preserve">فرمول</t>
  </si>
  <si>
    <t xml:space="preserve">هزینه‌های مالی (مثبت)</t>
  </si>
  <si>
    <t xml:space="preserve">درآمدهای غیرعملیاتی (خالص)</t>
  </si>
  <si>
    <t xml:space="preserve">سود قبل از مالیات</t>
  </si>
  <si>
    <t xml:space="preserve">مالیات (مثبت)</t>
  </si>
  <si>
    <t xml:space="preserve">سود خالص</t>
  </si>
  <si>
    <t xml:space="preserve">سرمایه (میلیون ریال)</t>
  </si>
  <si>
    <t xml:space="preserve">سرصفحه گزارش</t>
  </si>
  <si>
    <t xml:space="preserve">تعداد سهام (میلیون سهم)</t>
  </si>
  <si>
    <t xml:space="preserve">فرمول (سرمایه ÷ ۱,۰۰۰)</t>
  </si>
  <si>
    <t xml:space="preserve">سود هر سهم (ریال)</t>
  </si>
  <si>
    <t xml:space="preserve">ترازنامه</t>
  </si>
  <si>
    <t xml:space="preserve">موجودی نقد و سپرده</t>
  </si>
  <si>
    <t xml:space="preserve">صورت وضعیت مالی</t>
  </si>
  <si>
    <t xml:space="preserve">دریافتنی‌های تجاری</t>
  </si>
  <si>
    <t xml:space="preserve">موجودی مواد و کالا</t>
  </si>
  <si>
    <t xml:space="preserve">دارایی‌های ثابت مشهود (خالص)</t>
  </si>
  <si>
    <t xml:space="preserve">سایر دارایی‌ها</t>
  </si>
  <si>
    <t xml:space="preserve">صورت وضعیت مالی (جمع بقیه)</t>
  </si>
  <si>
    <t xml:space="preserve">جمع دارایی‌ها</t>
  </si>
  <si>
    <t xml:space="preserve">پرداختنی‌های تجاری</t>
  </si>
  <si>
    <t xml:space="preserve">تسهیلات مالی</t>
  </si>
  <si>
    <t xml:space="preserve">صورت وضعیت مالی و یادداشت تسهیلات</t>
  </si>
  <si>
    <t xml:space="preserve">سایر بدهی‌ها</t>
  </si>
  <si>
    <t xml:space="preserve">جمع حقوق مالکانه</t>
  </si>
  <si>
    <t xml:space="preserve">کنترل تراز (باید صفر باشد)</t>
  </si>
  <si>
    <t xml:space="preserve">جریان وجوه نقد</t>
  </si>
  <si>
    <t xml:space="preserve">جریان خالص نقد عملیاتی</t>
  </si>
  <si>
    <t xml:space="preserve">صورت جریان‌های نقدی</t>
  </si>
  <si>
    <t xml:space="preserve">پرداخت برای خرید دارایی ثابت (CAPEX، مثبت)</t>
  </si>
  <si>
    <t xml:space="preserve">استهلاک</t>
  </si>
  <si>
    <t xml:space="preserve">یادداشت دارایی‌های ثابت</t>
  </si>
  <si>
    <t xml:space="preserve">نسبت‌ها (فرمول)</t>
  </si>
  <si>
    <t xml:space="preserve">حاشیه سود ناخالص</t>
  </si>
  <si>
    <t xml:space="preserve">حاشیه سود عملیاتی</t>
  </si>
  <si>
    <t xml:space="preserve">نرخ مؤثر مالیات</t>
  </si>
  <si>
    <t xml:space="preserve">نقد عملیاتی ÷ سود خالص (کیفیت سود)</t>
  </si>
  <si>
    <t xml:space="preserve">دوره وصول (روز)</t>
  </si>
  <si>
    <t xml:space="preserve">دوره نگهداری موجودی (روز)</t>
  </si>
  <si>
    <t xml:space="preserve">دوره پرداخت (روز)</t>
  </si>
  <si>
    <t xml:space="preserve">بازده سرمایه به‌کاررفته (ROIC)</t>
  </si>
  <si>
    <t xml:space="preserve">رشد اسمی درآمد</t>
  </si>
  <si>
    <t xml:space="preserve">مفروضات</t>
  </si>
  <si>
    <t xml:space="preserve">فقط سلول‌های آبی را تغییر دهید. زمینه زرد = مفروضات کلیدی.</t>
  </si>
  <si>
    <t xml:space="preserve">سناریوی فعال (۱ بد، ۲ پایه، ۳ خوب)</t>
  </si>
  <si>
    <t xml:space="preserve">اهرم سناریو</t>
  </si>
  <si>
    <t xml:space="preserve">فعال</t>
  </si>
  <si>
    <t xml:space="preserve">بد</t>
  </si>
  <si>
    <t xml:space="preserve">پایه</t>
  </si>
  <si>
    <t xml:space="preserve">خوب</t>
  </si>
  <si>
    <t xml:space="preserve">رشد سالانه مقدار فروش</t>
  </si>
  <si>
    <t xml:space="preserve">تغییر واقعی سالانه نرخ فروش (بالاتر از تورم؛ نرخ ارز، قیمت جهانی)</t>
  </si>
  <si>
    <t xml:space="preserve">تغییر واقعی سالانه هزینه متغیر هر تن (خوراک، مواد)</t>
  </si>
  <si>
    <t xml:space="preserve">مفروضات سالانه</t>
  </si>
  <si>
    <t xml:space="preserve">سال اول</t>
  </si>
  <si>
    <t xml:space="preserve">سال دوم</t>
  </si>
  <si>
    <t xml:space="preserve">سال سوم</t>
  </si>
  <si>
    <t xml:space="preserve">سال چهارم</t>
  </si>
  <si>
    <t xml:space="preserve">سال پنجم</t>
  </si>
  <si>
    <t xml:space="preserve">تورم سالانه</t>
  </si>
  <si>
    <t xml:space="preserve">نرخ مؤثر مالیات (پایان معافیت را اینجا وارد کنید)</t>
  </si>
  <si>
    <t xml:space="preserve">CAPEX توسعه (اسمی، میلیون ریال)</t>
  </si>
  <si>
    <t xml:space="preserve">خالص استقراض جدید (بازپرداخت = منفی)</t>
  </si>
  <si>
    <t xml:space="preserve">افزایش سرمایه نقدی به ارزش اسمی (میلیون ریال)</t>
  </si>
  <si>
    <t xml:space="preserve">مفروضات ثابت</t>
  </si>
  <si>
    <t xml:space="preserve">مقدار</t>
  </si>
  <si>
    <t xml:space="preserve">توضیح</t>
  </si>
  <si>
    <t xml:space="preserve">سهم هزینه متغیر از بهای تمام‌شده (سال پایه، بدون استهلاک)</t>
  </si>
  <si>
    <t xml:space="preserve">از یادداشت بهای تمام‌شده: مواد و خوراک ÷ کل</t>
  </si>
  <si>
    <t xml:space="preserve">هزینه‌های فروش، اداری و عمومی (درصد فروش)</t>
  </si>
  <si>
    <t xml:space="preserve">میانگین دو سال تاریخی</t>
  </si>
  <si>
    <t xml:space="preserve">سایر اقلام عملیاتی (درصد فروش، مثبت = درآمد)</t>
  </si>
  <si>
    <t xml:space="preserve">معمولاً صفر فرض می‌شود</t>
  </si>
  <si>
    <t xml:space="preserve">نرخ استهلاک (درصد دارایی ثابت خالص ابتدای سال)</t>
  </si>
  <si>
    <t xml:space="preserve">استهلاک ÷ دارایی ثابت سال قبل</t>
  </si>
  <si>
    <t xml:space="preserve">CAPEX نگهداشت به قیمت سال پایه</t>
  </si>
  <si>
    <t xml:space="preserve">به قیمت روز جایگزینی، نه برابر استهلاک دفتری</t>
  </si>
  <si>
    <t xml:space="preserve">دوره وصول دریافتنی‌ها (روز)</t>
  </si>
  <si>
    <t xml:space="preserve">برگه تاریخی</t>
  </si>
  <si>
    <t xml:space="preserve">نرخ سود تسهیلات</t>
  </si>
  <si>
    <t xml:space="preserve">هزینه مالی ÷ میانگین تسهیلات (یادداشت تسهیلات)</t>
  </si>
  <si>
    <t xml:space="preserve">نرخ سود سپرده (روی نقد ابتدای سال)</t>
  </si>
  <si>
    <t xml:space="preserve">نمونه؛ بررسی کنید</t>
  </si>
  <si>
    <t xml:space="preserve">نسبت تقسیم سود (از سود سال قبل)</t>
  </si>
  <si>
    <t xml:space="preserve">سابقه مجامع</t>
  </si>
  <si>
    <t xml:space="preserve">ارزش‌گذاری</t>
  </si>
  <si>
    <t xml:space="preserve">نرخ بدون ریسک اسمی (بازده اخزا ۲ تا ۳ ساله)</t>
  </si>
  <si>
    <t xml:space="preserve">نمونه؛ نرخ روز را از فرابورس یا tsetmc بگیرید</t>
  </si>
  <si>
    <t xml:space="preserve">صرف ریسک سهام</t>
  </si>
  <si>
    <t xml:space="preserve">قضاوت؛ معمولاً بین پنج تا ده درصد و برای همه شرکت‌ها یکسان</t>
  </si>
  <si>
    <t xml:space="preserve">صرف ریسک خاص شرکت</t>
  </si>
  <si>
    <t xml:space="preserve">نقدشوندگی کم، وابستگی به مصوبه، بدهی ارزی، حاکمیت شرکتی</t>
  </si>
  <si>
    <t xml:space="preserve">هزینه بدهی قبل از مالیات</t>
  </si>
  <si>
    <t xml:space="preserve">همان نرخ مؤثر تسهیلات</t>
  </si>
  <si>
    <t xml:space="preserve">وزن بدهی در ساختار سرمایه (ارزش بازار)</t>
  </si>
  <si>
    <t xml:space="preserve">بدهی ÷ (بدهی + ارزش بازار سهام)</t>
  </si>
  <si>
    <t xml:space="preserve">نرخ مالیات برای صرفه مالیاتی بدهی</t>
  </si>
  <si>
    <t xml:space="preserve">نرخ مؤثر بلندمدت</t>
  </si>
  <si>
    <t xml:space="preserve">تورم بلندمدت (برای ارزش نهایی)</t>
  </si>
  <si>
    <t xml:space="preserve">فرض بلندمدت</t>
  </si>
  <si>
    <t xml:space="preserve">رشد نهایی واقعی</t>
  </si>
  <si>
    <t xml:space="preserve">بیشتر از دو درصد نگیرید</t>
  </si>
  <si>
    <t xml:space="preserve">قیمت بازار هر سهم (ریال)</t>
  </si>
  <si>
    <t xml:space="preserve">از tsetmc</t>
  </si>
  <si>
    <t xml:space="preserve">ارزش بازار سرمایه‌گذاری‌های غیرعملیاتی</t>
  </si>
  <si>
    <t xml:space="preserve">سهام بورسی و املاک غیرعملیاتی</t>
  </si>
  <si>
    <t xml:space="preserve">EV/EBITDA هم‌گروه‌ها: پایین</t>
  </si>
  <si>
    <t xml:space="preserve">روی EBITDA سال آینده هم‌گروه‌ها؛ ۴ تا ۶ شرکت با محصول و حساسیت ارزی مشابه</t>
  </si>
  <si>
    <t xml:space="preserve">EV/EBITDA هم‌گروه‌ها: میانه</t>
  </si>
  <si>
    <t xml:space="preserve">میانه، نه میانگین</t>
  </si>
  <si>
    <t xml:space="preserve">EV/EBITDA هم‌گروه‌ها: بالا</t>
  </si>
  <si>
    <t xml:space="preserve">مدل یکپارچه (میلیون ریال، اسمی)</t>
  </si>
  <si>
    <t xml:space="preserve">سال پایه از برگه تاریخی؛ سال‌های اول تا پنجم از مفروضات. ردیف کنترل تراز باید صفر باشد.</t>
  </si>
  <si>
    <t xml:space="preserve">شاخص‌ها</t>
  </si>
  <si>
    <t xml:space="preserve">تورم</t>
  </si>
  <si>
    <t xml:space="preserve">شاخص قیمت (پایه = ۱)</t>
  </si>
  <si>
    <t xml:space="preserve">عملیات</t>
  </si>
  <si>
    <t xml:space="preserve">نرخ فروش هر تن (میلیون ریال)</t>
  </si>
  <si>
    <t xml:space="preserve">هزینه متغیر هر تن (میلیون ریال)</t>
  </si>
  <si>
    <t xml:space="preserve">هزینه ثابت نقدی تولید</t>
  </si>
  <si>
    <t xml:space="preserve">بهای تمام‌شده (شامل استهلاک)</t>
  </si>
  <si>
    <t xml:space="preserve">سود ناخالص</t>
  </si>
  <si>
    <t xml:space="preserve">هزینه‌های فروش، اداری و عمومی</t>
  </si>
  <si>
    <t xml:space="preserve">سایر اقلام عملیاتی (خالص)</t>
  </si>
  <si>
    <t xml:space="preserve">سود عملیاتی (EBIT)</t>
  </si>
  <si>
    <t xml:space="preserve">EBITDA</t>
  </si>
  <si>
    <t xml:space="preserve">هزینه‌های مالی</t>
  </si>
  <si>
    <t xml:space="preserve">درآمد سود سپرده و غیرعملیاتی</t>
  </si>
  <si>
    <t xml:space="preserve">مالیات</t>
  </si>
  <si>
    <t xml:space="preserve">تعداد سهام (میلیون)</t>
  </si>
  <si>
    <t xml:space="preserve">سود تقسیمی پرداختی</t>
  </si>
  <si>
    <t xml:space="preserve">موجودی نقد</t>
  </si>
  <si>
    <t xml:space="preserve">موجودی کالا</t>
  </si>
  <si>
    <t xml:space="preserve">دارایی ثابت خالص</t>
  </si>
  <si>
    <t xml:space="preserve">حقوق مالکانه</t>
  </si>
  <si>
    <t xml:space="preserve">جمع بدهی‌ها و حقوق مالکانه</t>
  </si>
  <si>
    <t xml:space="preserve">تغییر سرمایه در گردش (افزایش = منفی)</t>
  </si>
  <si>
    <t xml:space="preserve">جریان نقد عملیاتی</t>
  </si>
  <si>
    <t xml:space="preserve">CAPEX (نگهداشت + توسعه)</t>
  </si>
  <si>
    <t xml:space="preserve">خالص استقراض</t>
  </si>
  <si>
    <t xml:space="preserve">افزایش سرمایه نقدی</t>
  </si>
  <si>
    <t xml:space="preserve">تغییر خالص موجودی نقد</t>
  </si>
  <si>
    <t xml:space="preserve">نسبت‌ها</t>
  </si>
  <si>
    <t xml:space="preserve">رشد واقعی درآمد</t>
  </si>
  <si>
    <t xml:space="preserve">ROIC</t>
  </si>
  <si>
    <t xml:space="preserve">نقد عملیاتی ÷ سود خالص</t>
  </si>
  <si>
    <t xml:space="preserve">هشدار</t>
  </si>
  <si>
    <t xml:space="preserve">ارزش‌گذاری: DCF، ضریب EV/EBITDA و دامنه ارزش</t>
  </si>
  <si>
    <t xml:space="preserve">میلیون ریال؛ ارزش هر سهم به ریال. نتیجه را به صورت دامنه بخوانید.</t>
  </si>
  <si>
    <t xml:space="preserve">نرخ تنزیل</t>
  </si>
  <si>
    <t xml:space="preserve">هزینه سرمایه سهام = نرخ بدون ریسک + صرف ریسک سهام + صرف ریسک خاص</t>
  </si>
  <si>
    <t xml:space="preserve">هزینه بدهی پس از مالیات</t>
  </si>
  <si>
    <t xml:space="preserve">WACC اسمی</t>
  </si>
  <si>
    <t xml:space="preserve">WACC واقعی (فقط برای کنترل؛ معمولاً بین پنج تا ده درصد)</t>
  </si>
  <si>
    <t xml:space="preserve">رشد نهایی اسمی = (۱ + تورم بلندمدت) × (۱ + رشد واقعی) − ۱</t>
  </si>
  <si>
    <t xml:space="preserve">کنترل: WACC باید از رشد نهایی بیشتر باشد</t>
  </si>
  <si>
    <t xml:space="preserve">جریان نقد آزاد شرکت (FCFF)</t>
  </si>
  <si>
    <t xml:space="preserve">سال (t)</t>
  </si>
  <si>
    <t xml:space="preserve">EBIT × (۱ − نرخ مالیات)</t>
  </si>
  <si>
    <t xml:space="preserve">+ استهلاک</t>
  </si>
  <si>
    <t xml:space="preserve">− CAPEX</t>
  </si>
  <si>
    <t xml:space="preserve">− افزایش سرمایه در گردش</t>
  </si>
  <si>
    <t xml:space="preserve">FCFF</t>
  </si>
  <si>
    <t xml:space="preserve">ضریب تنزیل = ۱ ÷ (۱ + WACC) به توان t</t>
  </si>
  <si>
    <t xml:space="preserve">ارزش فعلی FCFF</t>
  </si>
  <si>
    <t xml:space="preserve">از ارزش شرکت تا ارزش هر سهم</t>
  </si>
  <si>
    <t xml:space="preserve">جمع ارزش فعلی سال‌های اول تا پنجم</t>
  </si>
  <si>
    <t xml:space="preserve">ارزش نهایی در پایان سال پنجم</t>
  </si>
  <si>
    <t xml:space="preserve">ارزش فعلی ارزش نهایی</t>
  </si>
  <si>
    <t xml:space="preserve">ارزش کل شرکت (EV)</t>
  </si>
  <si>
    <t xml:space="preserve">سهم ارزش نهایی از EV</t>
  </si>
  <si>
    <t xml:space="preserve">خالص بدهی پایان سال پایه (تسهیلات − نقد)</t>
  </si>
  <si>
    <t xml:space="preserve">+ سرمایه‌گذاری‌های غیرعملیاتی</t>
  </si>
  <si>
    <t xml:space="preserve">ارزش سهام</t>
  </si>
  <si>
    <t xml:space="preserve">ارزش هر سهم (ریال)</t>
  </si>
  <si>
    <t xml:space="preserve">قیمت بازار (ریال)</t>
  </si>
  <si>
    <t xml:space="preserve">فاصله ارزش تا قیمت (ارزش ÷ قیمت − ۱)</t>
  </si>
  <si>
    <t xml:space="preserve">ضریب ضمنی ارزش نهایی (ارزش نهایی ÷ EBITDA سال پنجم)</t>
  </si>
  <si>
    <t xml:space="preserve">حساسیت ارزش هر سهم (ریال) به WACC و رشد نهایی واقعی</t>
  </si>
  <si>
    <t xml:space="preserve">WACC اسمی ↓ / رشد نهایی واقعی →</t>
  </si>
  <si>
    <t xml:space="preserve">ضریب EV/EBITDA هم‌گروه‌ها (روی EBITDA پیش‌بینی سال اول)</t>
  </si>
  <si>
    <t xml:space="preserve">پایین</t>
  </si>
  <si>
    <t xml:space="preserve">میانه</t>
  </si>
  <si>
    <t xml:space="preserve">بالا</t>
  </si>
  <si>
    <t xml:space="preserve">ضریب</t>
  </si>
  <si>
    <t xml:space="preserve">EV = ضریب × EBITDA سال اول</t>
  </si>
  <si>
    <t xml:space="preserve">ثبت سناریوها (سناریو را در مفروضات عوض کنید و ارزش هر سهم را اینجا تایپ کنید)</t>
  </si>
  <si>
    <t xml:space="preserve">سناریو</t>
  </si>
  <si>
    <t xml:space="preserve">احتمال</t>
  </si>
  <si>
    <t xml:space="preserve">ارزش وزنی</t>
  </si>
  <si>
    <t xml:space="preserve">جدول دامنه ارزش هر سهم (ریال)</t>
  </si>
  <si>
    <t xml:space="preserve">روش</t>
  </si>
  <si>
    <t xml:space="preserve">DCF، سه سناریو</t>
  </si>
  <si>
    <t xml:space="preserve">DCF، حساسیت نرخ و رشد (سناریوی فعال)</t>
  </si>
  <si>
    <t xml:space="preserve">EV/EBITDA هم‌گروه‌ها</t>
  </si>
  <si>
    <t xml:space="preserve">قیمت بازار</t>
  </si>
  <si>
    <t xml:space="preserve">یادآوری: قیمت زیر پایین دامنه نشانه حاشیه اطمینان است، نه دستور خرید. کیفیت سود، پرچم‌های قرمز و بازده مورد انتظار در برابر اخزا را هم بسنجید.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</si>
</sst>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0.00"/>
    <numFmt numFmtId="168" formatCode="0"/>
    <numFmt numFmtId="169" formatCode="0.0\x"/>
    <numFmt numFmtId="170" formatCode="0.000"/>
    <numFmt numFmtId="171" formatCode="#,##0.0;\(#,##0.0\);\-"/>
    <numFmt numFmtId="172" formatCode="@"/>
    <numFmt numFmtId="173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ahoma"/>
      <family val="0"/>
      <charset val="1"/>
    </font>
    <font>
      <sz val="10"/>
      <color rgb="FF555555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10"/>
      <color rgb="FF000000"/>
      <name val="Tahoma"/>
      <family val="0"/>
      <charset val="1"/>
    </font>
    <font>
      <sz val="10"/>
      <color rgb="FF0000FF"/>
      <name val="Tahoma"/>
      <family val="0"/>
      <charset val="1"/>
    </font>
    <font>
      <b val="true"/>
      <sz val="10"/>
      <color rgb="FF0000FF"/>
      <name val="Tahoma"/>
      <family val="0"/>
      <charset val="1"/>
    </font>
    <font>
      <sz val="10"/>
      <color rgb="FF008000"/>
      <name val="Tahoma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9E3D5"/>
        <bgColor rgb="FFDCEBE8"/>
      </patternFill>
    </fill>
    <fill>
      <patternFill patternType="solid">
        <fgColor rgb="FFDCEBE8"/>
        <bgColor rgb="FFE9E3D5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9E3D5"/>
      <rgbColor rgb="FFDCEB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3.1" hidden="false" customHeight="false" outlineLevel="0" collapsed="false">
      <c r="A1" s="1" t="s">
        <v>0</v>
      </c>
    </row>
    <row r="2" customFormat="false" ht="16.4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6.4" hidden="false" customHeight="false" outlineLevel="0" collapsed="false">
      <c r="A5" s="4" t="s">
        <v>3</v>
      </c>
    </row>
    <row r="6" customFormat="false" ht="16.4" hidden="false" customHeight="false" outlineLevel="0" collapsed="false">
      <c r="A6" s="4" t="s">
        <v>4</v>
      </c>
    </row>
    <row r="7" customFormat="false" ht="16.4" hidden="false" customHeight="false" outlineLevel="0" collapsed="false">
      <c r="A7" s="4" t="s">
        <v>5</v>
      </c>
    </row>
    <row r="8" customFormat="false" ht="16.4" hidden="false" customHeight="false" outlineLevel="0" collapsed="false">
      <c r="A8" s="4" t="s">
        <v>6</v>
      </c>
    </row>
    <row r="9" customFormat="false" ht="16.4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3" t="s">
        <v>8</v>
      </c>
    </row>
    <row r="12" customFormat="false" ht="16.4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3" t="s">
        <v>10</v>
      </c>
    </row>
    <row r="15" customFormat="false" ht="16.4" hidden="false" customHeight="false" outlineLevel="0" collapsed="false">
      <c r="A15" s="4" t="s">
        <v>11</v>
      </c>
    </row>
    <row r="16" customFormat="false" ht="16.4" hidden="false" customHeight="false" outlineLevel="0" collapsed="false">
      <c r="A16" s="4" t="s">
        <v>12</v>
      </c>
    </row>
    <row r="17" customFormat="false" ht="16.4" hidden="false" customHeight="false" outlineLevel="0" collapsed="false">
      <c r="A17" s="4" t="s">
        <v>13</v>
      </c>
    </row>
    <row r="18" customFormat="false" ht="16.4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3" t="s">
        <v>15</v>
      </c>
    </row>
    <row r="21" customFormat="false" ht="16.4" hidden="false" customHeight="false" outlineLevel="0" collapsed="false">
      <c r="A21" s="4" t="s">
        <v>16</v>
      </c>
    </row>
    <row r="22" customFormat="false" ht="16.4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18</v>
      </c>
    </row>
    <row r="2" customFormat="false" ht="16.4" hidden="false" customHeight="false" outlineLevel="0" collapsed="false">
      <c r="A2" s="2" t="s">
        <v>19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</row>
    <row r="4" customFormat="false" ht="15" hidden="false" customHeight="false" outlineLevel="0" collapsed="false">
      <c r="A4" s="6" t="s">
        <v>24</v>
      </c>
      <c r="B4" s="7" t="n">
        <v>195000</v>
      </c>
      <c r="C4" s="7" t="n">
        <v>200000</v>
      </c>
      <c r="D4" s="2" t="s">
        <v>25</v>
      </c>
    </row>
    <row r="5" customFormat="false" ht="15" hidden="false" customHeight="false" outlineLevel="0" collapsed="false">
      <c r="A5" s="6" t="s">
        <v>26</v>
      </c>
      <c r="B5" s="7" t="n">
        <v>3700000</v>
      </c>
      <c r="C5" s="7" t="n">
        <v>5000000</v>
      </c>
      <c r="D5" s="2" t="s">
        <v>27</v>
      </c>
    </row>
    <row r="6" customFormat="false" ht="15" hidden="false" customHeight="false" outlineLevel="0" collapsed="false">
      <c r="A6" s="6" t="s">
        <v>28</v>
      </c>
      <c r="B6" s="7" t="n">
        <v>2650000</v>
      </c>
      <c r="C6" s="7" t="n">
        <v>3500000</v>
      </c>
      <c r="D6" s="2" t="s">
        <v>27</v>
      </c>
    </row>
    <row r="7" customFormat="false" ht="15" hidden="false" customHeight="false" outlineLevel="0" collapsed="false">
      <c r="A7" s="6" t="s">
        <v>29</v>
      </c>
      <c r="B7" s="7" t="n">
        <v>230000</v>
      </c>
      <c r="C7" s="7" t="n">
        <v>300000</v>
      </c>
      <c r="D7" s="2" t="s">
        <v>27</v>
      </c>
    </row>
    <row r="8" customFormat="false" ht="15" hidden="false" customHeight="false" outlineLevel="0" collapsed="false">
      <c r="A8" s="6" t="s">
        <v>30</v>
      </c>
      <c r="B8" s="7" t="n">
        <v>-20000</v>
      </c>
      <c r="C8" s="7" t="n">
        <v>-30000</v>
      </c>
      <c r="D8" s="2" t="s">
        <v>27</v>
      </c>
    </row>
    <row r="9" customFormat="false" ht="15" hidden="false" customHeight="false" outlineLevel="0" collapsed="false">
      <c r="A9" s="6" t="s">
        <v>31</v>
      </c>
      <c r="B9" s="8" t="n">
        <f aca="false">B5-B6-B7+B8</f>
        <v>800000</v>
      </c>
      <c r="C9" s="8" t="n">
        <f aca="false">C5-C6-C7+C8</f>
        <v>1170000</v>
      </c>
      <c r="D9" s="2" t="s">
        <v>32</v>
      </c>
    </row>
    <row r="10" customFormat="false" ht="15" hidden="false" customHeight="false" outlineLevel="0" collapsed="false">
      <c r="A10" s="6" t="s">
        <v>33</v>
      </c>
      <c r="B10" s="7" t="n">
        <v>210000</v>
      </c>
      <c r="C10" s="7" t="n">
        <v>230000</v>
      </c>
      <c r="D10" s="2" t="s">
        <v>27</v>
      </c>
    </row>
    <row r="11" customFormat="false" ht="15" hidden="false" customHeight="false" outlineLevel="0" collapsed="false">
      <c r="A11" s="6" t="s">
        <v>34</v>
      </c>
      <c r="B11" s="7" t="n">
        <v>30000</v>
      </c>
      <c r="C11" s="7" t="n">
        <v>50000</v>
      </c>
      <c r="D11" s="2" t="s">
        <v>27</v>
      </c>
    </row>
    <row r="12" customFormat="false" ht="15" hidden="false" customHeight="false" outlineLevel="0" collapsed="false">
      <c r="A12" s="6" t="s">
        <v>35</v>
      </c>
      <c r="B12" s="8" t="n">
        <f aca="false">B9-B10+B11</f>
        <v>620000</v>
      </c>
      <c r="C12" s="8" t="n">
        <f aca="false">C9-C10+C11</f>
        <v>990000</v>
      </c>
      <c r="D12" s="2" t="s">
        <v>32</v>
      </c>
    </row>
    <row r="13" customFormat="false" ht="15" hidden="false" customHeight="false" outlineLevel="0" collapsed="false">
      <c r="A13" s="6" t="s">
        <v>36</v>
      </c>
      <c r="B13" s="7" t="n">
        <v>120000</v>
      </c>
      <c r="C13" s="7" t="n">
        <v>160000</v>
      </c>
      <c r="D13" s="2" t="s">
        <v>27</v>
      </c>
    </row>
    <row r="14" customFormat="false" ht="15" hidden="false" customHeight="false" outlineLevel="0" collapsed="false">
      <c r="A14" s="6" t="s">
        <v>37</v>
      </c>
      <c r="B14" s="8" t="n">
        <f aca="false">B12-B13</f>
        <v>500000</v>
      </c>
      <c r="C14" s="8" t="n">
        <f aca="false">C12-C13</f>
        <v>830000</v>
      </c>
      <c r="D14" s="2" t="s">
        <v>32</v>
      </c>
    </row>
    <row r="15" customFormat="false" ht="15" hidden="false" customHeight="false" outlineLevel="0" collapsed="false">
      <c r="A15" s="6" t="s">
        <v>38</v>
      </c>
      <c r="B15" s="7" t="n">
        <v>4000000</v>
      </c>
      <c r="C15" s="7" t="n">
        <v>4000000</v>
      </c>
      <c r="D15" s="2" t="s">
        <v>39</v>
      </c>
    </row>
    <row r="16" customFormat="false" ht="15" hidden="false" customHeight="false" outlineLevel="0" collapsed="false">
      <c r="A16" s="6" t="s">
        <v>40</v>
      </c>
      <c r="B16" s="8" t="n">
        <f aca="false">B15/1000</f>
        <v>4000</v>
      </c>
      <c r="C16" s="8" t="n">
        <f aca="false">C15/1000</f>
        <v>4000</v>
      </c>
      <c r="D16" s="2" t="s">
        <v>41</v>
      </c>
    </row>
    <row r="17" customFormat="false" ht="15" hidden="false" customHeight="false" outlineLevel="0" collapsed="false">
      <c r="A17" s="6" t="s">
        <v>42</v>
      </c>
      <c r="B17" s="8" t="n">
        <f aca="false">IF(B16=0,0,B14/B16)</f>
        <v>125</v>
      </c>
      <c r="C17" s="8" t="n">
        <f aca="false">IF(C16=0,0,C14/C16)</f>
        <v>207.5</v>
      </c>
      <c r="D17" s="2" t="s">
        <v>32</v>
      </c>
    </row>
    <row r="18" customFormat="false" ht="15" hidden="false" customHeight="false" outlineLevel="0" collapsed="false">
      <c r="A18" s="9" t="s">
        <v>43</v>
      </c>
      <c r="B18" s="10"/>
      <c r="C18" s="10"/>
      <c r="D18" s="10"/>
    </row>
    <row r="19" customFormat="false" ht="15" hidden="false" customHeight="false" outlineLevel="0" collapsed="false">
      <c r="A19" s="6" t="s">
        <v>44</v>
      </c>
      <c r="B19" s="7" t="n">
        <v>250000</v>
      </c>
      <c r="C19" s="7" t="n">
        <v>300000</v>
      </c>
      <c r="D19" s="2" t="s">
        <v>45</v>
      </c>
    </row>
    <row r="20" customFormat="false" ht="15" hidden="false" customHeight="false" outlineLevel="0" collapsed="false">
      <c r="A20" s="6" t="s">
        <v>46</v>
      </c>
      <c r="B20" s="7" t="n">
        <v>600000</v>
      </c>
      <c r="C20" s="7" t="n">
        <v>820000</v>
      </c>
      <c r="D20" s="2" t="s">
        <v>45</v>
      </c>
    </row>
    <row r="21" customFormat="false" ht="15" hidden="false" customHeight="false" outlineLevel="0" collapsed="false">
      <c r="A21" s="6" t="s">
        <v>47</v>
      </c>
      <c r="B21" s="7" t="n">
        <v>650000</v>
      </c>
      <c r="C21" s="7" t="n">
        <v>860000</v>
      </c>
      <c r="D21" s="2" t="s">
        <v>45</v>
      </c>
    </row>
    <row r="22" customFormat="false" ht="15" hidden="false" customHeight="false" outlineLevel="0" collapsed="false">
      <c r="A22" s="6" t="s">
        <v>48</v>
      </c>
      <c r="B22" s="7" t="n">
        <v>2300000</v>
      </c>
      <c r="C22" s="7" t="n">
        <v>2500000</v>
      </c>
      <c r="D22" s="2" t="s">
        <v>45</v>
      </c>
    </row>
    <row r="23" customFormat="false" ht="15" hidden="false" customHeight="false" outlineLevel="0" collapsed="false">
      <c r="A23" s="6" t="s">
        <v>49</v>
      </c>
      <c r="B23" s="7" t="n">
        <v>120000</v>
      </c>
      <c r="C23" s="7" t="n">
        <v>150000</v>
      </c>
      <c r="D23" s="2" t="s">
        <v>50</v>
      </c>
    </row>
    <row r="24" customFormat="false" ht="15" hidden="false" customHeight="false" outlineLevel="0" collapsed="false">
      <c r="A24" s="6" t="s">
        <v>51</v>
      </c>
      <c r="B24" s="8" t="n">
        <f aca="false">B19+B20+B21+B22+B23</f>
        <v>3920000</v>
      </c>
      <c r="C24" s="8" t="n">
        <f aca="false">C19+C20+C21+C22+C23</f>
        <v>4630000</v>
      </c>
      <c r="D24" s="2" t="s">
        <v>32</v>
      </c>
    </row>
    <row r="25" customFormat="false" ht="15" hidden="false" customHeight="false" outlineLevel="0" collapsed="false">
      <c r="A25" s="6" t="s">
        <v>52</v>
      </c>
      <c r="B25" s="7" t="n">
        <v>330000</v>
      </c>
      <c r="C25" s="7" t="n">
        <v>430000</v>
      </c>
      <c r="D25" s="2" t="s">
        <v>45</v>
      </c>
    </row>
    <row r="26" customFormat="false" ht="15" hidden="false" customHeight="false" outlineLevel="0" collapsed="false">
      <c r="A26" s="6" t="s">
        <v>53</v>
      </c>
      <c r="B26" s="7" t="n">
        <v>900000</v>
      </c>
      <c r="C26" s="7" t="n">
        <v>1000000</v>
      </c>
      <c r="D26" s="2" t="s">
        <v>54</v>
      </c>
    </row>
    <row r="27" customFormat="false" ht="15" hidden="false" customHeight="false" outlineLevel="0" collapsed="false">
      <c r="A27" s="6" t="s">
        <v>55</v>
      </c>
      <c r="B27" s="7" t="n">
        <v>170000</v>
      </c>
      <c r="C27" s="7" t="n">
        <v>200000</v>
      </c>
      <c r="D27" s="2" t="s">
        <v>50</v>
      </c>
    </row>
    <row r="28" customFormat="false" ht="15" hidden="false" customHeight="false" outlineLevel="0" collapsed="false">
      <c r="A28" s="6" t="s">
        <v>56</v>
      </c>
      <c r="B28" s="7" t="n">
        <v>2520000</v>
      </c>
      <c r="C28" s="7" t="n">
        <v>3000000</v>
      </c>
      <c r="D28" s="2" t="s">
        <v>45</v>
      </c>
    </row>
    <row r="29" customFormat="false" ht="15" hidden="false" customHeight="false" outlineLevel="0" collapsed="false">
      <c r="A29" s="6" t="s">
        <v>57</v>
      </c>
      <c r="B29" s="8" t="n">
        <f aca="false">B24-B25-B26-B27-B28</f>
        <v>0</v>
      </c>
      <c r="C29" s="8" t="n">
        <f aca="false">C24-C25-C26-C27-C28</f>
        <v>0</v>
      </c>
      <c r="D29" s="2" t="s">
        <v>32</v>
      </c>
    </row>
    <row r="30" customFormat="false" ht="15" hidden="false" customHeight="false" outlineLevel="0" collapsed="false">
      <c r="A30" s="9" t="s">
        <v>58</v>
      </c>
      <c r="B30" s="10"/>
      <c r="C30" s="10"/>
      <c r="D30" s="10"/>
    </row>
    <row r="31" customFormat="false" ht="15" hidden="false" customHeight="false" outlineLevel="0" collapsed="false">
      <c r="A31" s="6" t="s">
        <v>59</v>
      </c>
      <c r="B31" s="7" t="n">
        <v>620000</v>
      </c>
      <c r="C31" s="7" t="n">
        <v>900000</v>
      </c>
      <c r="D31" s="2" t="s">
        <v>60</v>
      </c>
    </row>
    <row r="32" customFormat="false" ht="16.4" hidden="false" customHeight="false" outlineLevel="0" collapsed="false">
      <c r="A32" s="6" t="s">
        <v>61</v>
      </c>
      <c r="B32" s="7" t="n">
        <v>380000</v>
      </c>
      <c r="C32" s="7" t="n">
        <v>450000</v>
      </c>
      <c r="D32" s="2" t="s">
        <v>60</v>
      </c>
    </row>
    <row r="33" customFormat="false" ht="15" hidden="false" customHeight="false" outlineLevel="0" collapsed="false">
      <c r="A33" s="6" t="s">
        <v>62</v>
      </c>
      <c r="B33" s="7" t="n">
        <v>200000</v>
      </c>
      <c r="C33" s="7" t="n">
        <v>230000</v>
      </c>
      <c r="D33" s="2" t="s">
        <v>63</v>
      </c>
    </row>
    <row r="35" customFormat="false" ht="15" hidden="false" customHeight="false" outlineLevel="0" collapsed="false">
      <c r="A35" s="9" t="s">
        <v>64</v>
      </c>
      <c r="B35" s="10"/>
      <c r="C35" s="10"/>
      <c r="D35" s="10"/>
    </row>
    <row r="36" customFormat="false" ht="15" hidden="false" customHeight="false" outlineLevel="0" collapsed="false">
      <c r="A36" s="6" t="s">
        <v>65</v>
      </c>
      <c r="B36" s="11" t="n">
        <f aca="false">IF(B5=0,0,(B5-B6)/B5)</f>
        <v>0.283783783783784</v>
      </c>
      <c r="C36" s="11" t="n">
        <f aca="false">IF(C5=0,0,(C5-C6)/C5)</f>
        <v>0.3</v>
      </c>
    </row>
    <row r="37" customFormat="false" ht="15" hidden="false" customHeight="false" outlineLevel="0" collapsed="false">
      <c r="A37" s="6" t="s">
        <v>66</v>
      </c>
      <c r="B37" s="11" t="n">
        <f aca="false">IF(B5=0,0,B9/B5)</f>
        <v>0.216216216216216</v>
      </c>
      <c r="C37" s="11" t="n">
        <f aca="false">IF(C5=0,0,C9/C5)</f>
        <v>0.234</v>
      </c>
    </row>
    <row r="38" customFormat="false" ht="15" hidden="false" customHeight="false" outlineLevel="0" collapsed="false">
      <c r="A38" s="6" t="s">
        <v>67</v>
      </c>
      <c r="B38" s="11" t="n">
        <f aca="false">IF(B12=0,0,B13/B12)</f>
        <v>0.193548387096774</v>
      </c>
      <c r="C38" s="11" t="n">
        <f aca="false">IF(C12=0,0,C13/C12)</f>
        <v>0.161616161616162</v>
      </c>
    </row>
    <row r="39" customFormat="false" ht="15" hidden="false" customHeight="false" outlineLevel="0" collapsed="false">
      <c r="A39" s="6" t="s">
        <v>68</v>
      </c>
      <c r="B39" s="12" t="n">
        <f aca="false">IF(B14=0,0,B31/B14)</f>
        <v>1.24</v>
      </c>
      <c r="C39" s="12" t="n">
        <f aca="false">IF(C14=0,0,C31/C14)</f>
        <v>1.08433734939759</v>
      </c>
    </row>
    <row r="40" customFormat="false" ht="15" hidden="false" customHeight="false" outlineLevel="0" collapsed="false">
      <c r="A40" s="6" t="s">
        <v>69</v>
      </c>
      <c r="B40" s="13" t="n">
        <f aca="false">IF(B5=0,0,B20/B5*365)</f>
        <v>59.1891891891892</v>
      </c>
      <c r="C40" s="13" t="n">
        <f aca="false">IF(C5=0,0,C20/C5*365)</f>
        <v>59.86</v>
      </c>
    </row>
    <row r="41" customFormat="false" ht="15" hidden="false" customHeight="false" outlineLevel="0" collapsed="false">
      <c r="A41" s="6" t="s">
        <v>70</v>
      </c>
      <c r="B41" s="13" t="n">
        <f aca="false">IF(B6=0,0,B21/B6*365)</f>
        <v>89.5283018867925</v>
      </c>
      <c r="C41" s="13" t="n">
        <f aca="false">IF(C6=0,0,C21/C6*365)</f>
        <v>89.6857142857143</v>
      </c>
    </row>
    <row r="42" customFormat="false" ht="15" hidden="false" customHeight="false" outlineLevel="0" collapsed="false">
      <c r="A42" s="6" t="s">
        <v>71</v>
      </c>
      <c r="B42" s="13" t="n">
        <f aca="false">IF(B6=0,0,B25/B6*365)</f>
        <v>45.4528301886792</v>
      </c>
      <c r="C42" s="13" t="n">
        <f aca="false">IF(C6=0,0,C25/C6*365)</f>
        <v>44.8428571428571</v>
      </c>
    </row>
    <row r="43" customFormat="false" ht="16.4" hidden="false" customHeight="false" outlineLevel="0" collapsed="false">
      <c r="A43" s="6" t="s">
        <v>72</v>
      </c>
      <c r="B43" s="11" t="n">
        <f aca="false">IF((B22+B20+B21-B25)=0,0,B9*(1-IF(B12=0,0,B13/B12))/(B22+B20+B21-B25))</f>
        <v>0.200360649168503</v>
      </c>
      <c r="C43" s="11" t="n">
        <f aca="false">IF((C22+C20+C21-C25)=0,0,C9*(1-IF(C12=0,0,C13/C12))/(C22+C20+C21-C25))</f>
        <v>0.261575757575758</v>
      </c>
    </row>
    <row r="44" customFormat="false" ht="15" hidden="false" customHeight="false" outlineLevel="0" collapsed="false">
      <c r="A44" s="6" t="s">
        <v>73</v>
      </c>
      <c r="C44" s="11" t="n">
        <f aca="false">IF(B5=0,0,C5/B5-1)</f>
        <v>0.351351351351351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6" min="4" style="0" width="13"/>
  </cols>
  <sheetData>
    <row r="1" customFormat="false" ht="17.35" hidden="false" customHeight="false" outlineLevel="0" collapsed="false">
      <c r="A1" s="1" t="s">
        <v>74</v>
      </c>
    </row>
    <row r="2" customFormat="false" ht="16.4" hidden="false" customHeight="false" outlineLevel="0" collapsed="false">
      <c r="A2" s="2" t="s">
        <v>75</v>
      </c>
    </row>
    <row r="4" customFormat="false" ht="15" hidden="false" customHeight="false" outlineLevel="0" collapsed="false">
      <c r="A4" s="14" t="s">
        <v>76</v>
      </c>
      <c r="B4" s="15" t="n">
        <v>2</v>
      </c>
      <c r="C4" s="16" t="str">
        <f aca="false">CHOOSE($B$4,"بد","پایه","خوب")</f>
        <v>پایه</v>
      </c>
    </row>
    <row r="6" customFormat="false" ht="15" hidden="false" customHeight="false" outlineLevel="0" collapsed="false">
      <c r="A6" s="5" t="s">
        <v>77</v>
      </c>
      <c r="B6" s="5" t="s">
        <v>78</v>
      </c>
      <c r="C6" s="5" t="s">
        <v>79</v>
      </c>
      <c r="D6" s="5" t="s">
        <v>80</v>
      </c>
      <c r="E6" s="5" t="s">
        <v>81</v>
      </c>
    </row>
    <row r="7" customFormat="false" ht="15" hidden="false" customHeight="false" outlineLevel="0" collapsed="false">
      <c r="A7" s="6" t="s">
        <v>82</v>
      </c>
      <c r="B7" s="17" t="n">
        <f aca="false">CHOOSE($B$4,C7,D7,E7)</f>
        <v>0.03</v>
      </c>
      <c r="C7" s="18" t="n">
        <v>0</v>
      </c>
      <c r="D7" s="18" t="n">
        <v>0.03</v>
      </c>
      <c r="E7" s="18" t="n">
        <v>0.04</v>
      </c>
    </row>
    <row r="8" customFormat="false" ht="15" hidden="false" customHeight="false" outlineLevel="0" collapsed="false">
      <c r="A8" s="6" t="s">
        <v>83</v>
      </c>
      <c r="B8" s="17" t="n">
        <f aca="false">CHOOSE($B$4,C8,D8,E8)</f>
        <v>0</v>
      </c>
      <c r="C8" s="18" t="n">
        <v>-0.01</v>
      </c>
      <c r="D8" s="18" t="n">
        <v>0</v>
      </c>
      <c r="E8" s="18" t="n">
        <v>0.005</v>
      </c>
    </row>
    <row r="9" customFormat="false" ht="15" hidden="false" customHeight="false" outlineLevel="0" collapsed="false">
      <c r="A9" s="6" t="s">
        <v>84</v>
      </c>
      <c r="B9" s="17" t="n">
        <f aca="false">CHOOSE($B$4,C9,D9,E9)</f>
        <v>0</v>
      </c>
      <c r="C9" s="18" t="n">
        <v>0.01</v>
      </c>
      <c r="D9" s="18" t="n">
        <v>0</v>
      </c>
      <c r="E9" s="18" t="n">
        <v>-0.005</v>
      </c>
    </row>
    <row r="11" customFormat="false" ht="15" hidden="false" customHeight="false" outlineLevel="0" collapsed="false">
      <c r="A11" s="5" t="s">
        <v>85</v>
      </c>
      <c r="B11" s="5" t="s">
        <v>86</v>
      </c>
      <c r="C11" s="5" t="s">
        <v>87</v>
      </c>
      <c r="D11" s="5" t="s">
        <v>88</v>
      </c>
      <c r="E11" s="5" t="s">
        <v>89</v>
      </c>
      <c r="F11" s="5" t="s">
        <v>90</v>
      </c>
    </row>
    <row r="12" customFormat="false" ht="15" hidden="false" customHeight="false" outlineLevel="0" collapsed="false">
      <c r="A12" s="6" t="s">
        <v>91</v>
      </c>
      <c r="B12" s="18" t="n">
        <v>0.35</v>
      </c>
      <c r="C12" s="18" t="n">
        <v>0.3</v>
      </c>
      <c r="D12" s="18" t="n">
        <v>0.28</v>
      </c>
      <c r="E12" s="18" t="n">
        <v>0.25</v>
      </c>
      <c r="F12" s="18" t="n">
        <v>0.25</v>
      </c>
    </row>
    <row r="13" customFormat="false" ht="15" hidden="false" customHeight="false" outlineLevel="0" collapsed="false">
      <c r="A13" s="6" t="s">
        <v>92</v>
      </c>
      <c r="B13" s="18" t="n">
        <v>0.15</v>
      </c>
      <c r="C13" s="18" t="n">
        <v>0.15</v>
      </c>
      <c r="D13" s="18" t="n">
        <v>0.25</v>
      </c>
      <c r="E13" s="18" t="n">
        <v>0.25</v>
      </c>
      <c r="F13" s="18" t="n">
        <v>0.25</v>
      </c>
    </row>
    <row r="14" customFormat="false" ht="16.4" hidden="false" customHeight="false" outlineLevel="0" collapsed="false">
      <c r="A14" s="6" t="s">
        <v>93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</row>
    <row r="15" customFormat="false" ht="15" hidden="false" customHeight="false" outlineLevel="0" collapsed="false">
      <c r="A15" s="6" t="s">
        <v>94</v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</row>
    <row r="16" customFormat="false" ht="15" hidden="false" customHeight="false" outlineLevel="0" collapsed="false">
      <c r="A16" s="6" t="s">
        <v>95</v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</row>
    <row r="18" customFormat="false" ht="15" hidden="false" customHeight="false" outlineLevel="0" collapsed="false">
      <c r="A18" s="5" t="s">
        <v>96</v>
      </c>
      <c r="B18" s="5" t="s">
        <v>97</v>
      </c>
      <c r="C18" s="5" t="s">
        <v>98</v>
      </c>
    </row>
    <row r="19" customFormat="false" ht="15" hidden="false" customHeight="false" outlineLevel="0" collapsed="false">
      <c r="A19" s="6" t="s">
        <v>99</v>
      </c>
      <c r="B19" s="19" t="n">
        <v>0.8</v>
      </c>
      <c r="C19" s="2" t="s">
        <v>100</v>
      </c>
    </row>
    <row r="20" customFormat="false" ht="15" hidden="false" customHeight="false" outlineLevel="0" collapsed="false">
      <c r="A20" s="6" t="s">
        <v>101</v>
      </c>
      <c r="B20" s="19" t="n">
        <v>0.06</v>
      </c>
      <c r="C20" s="2" t="s">
        <v>102</v>
      </c>
    </row>
    <row r="21" customFormat="false" ht="15" hidden="false" customHeight="false" outlineLevel="0" collapsed="false">
      <c r="A21" s="6" t="s">
        <v>103</v>
      </c>
      <c r="B21" s="19" t="n">
        <v>0</v>
      </c>
      <c r="C21" s="2" t="s">
        <v>104</v>
      </c>
    </row>
    <row r="22" customFormat="false" ht="15" hidden="false" customHeight="false" outlineLevel="0" collapsed="false">
      <c r="A22" s="6" t="s">
        <v>105</v>
      </c>
      <c r="B22" s="19" t="n">
        <v>0.1</v>
      </c>
      <c r="C22" s="2" t="s">
        <v>106</v>
      </c>
    </row>
    <row r="23" customFormat="false" ht="16.4" hidden="false" customHeight="false" outlineLevel="0" collapsed="false">
      <c r="A23" s="6" t="s">
        <v>107</v>
      </c>
      <c r="B23" s="7" t="n">
        <v>250000</v>
      </c>
      <c r="C23" s="2" t="s">
        <v>108</v>
      </c>
    </row>
    <row r="24" customFormat="false" ht="15" hidden="false" customHeight="false" outlineLevel="0" collapsed="false">
      <c r="A24" s="6" t="s">
        <v>109</v>
      </c>
      <c r="B24" s="20" t="n">
        <v>60</v>
      </c>
      <c r="C24" s="2" t="s">
        <v>110</v>
      </c>
    </row>
    <row r="25" customFormat="false" ht="15" hidden="false" customHeight="false" outlineLevel="0" collapsed="false">
      <c r="A25" s="6" t="s">
        <v>70</v>
      </c>
      <c r="B25" s="20" t="n">
        <v>90</v>
      </c>
      <c r="C25" s="2" t="s">
        <v>110</v>
      </c>
    </row>
    <row r="26" customFormat="false" ht="15" hidden="false" customHeight="false" outlineLevel="0" collapsed="false">
      <c r="A26" s="6" t="s">
        <v>71</v>
      </c>
      <c r="B26" s="20" t="n">
        <v>45</v>
      </c>
      <c r="C26" s="2" t="s">
        <v>110</v>
      </c>
    </row>
    <row r="27" customFormat="false" ht="15" hidden="false" customHeight="false" outlineLevel="0" collapsed="false">
      <c r="A27" s="6" t="s">
        <v>111</v>
      </c>
      <c r="B27" s="19" t="n">
        <v>0.23</v>
      </c>
      <c r="C27" s="2" t="s">
        <v>112</v>
      </c>
    </row>
    <row r="28" customFormat="false" ht="15" hidden="false" customHeight="false" outlineLevel="0" collapsed="false">
      <c r="A28" s="6" t="s">
        <v>113</v>
      </c>
      <c r="B28" s="19" t="n">
        <v>0.2</v>
      </c>
      <c r="C28" s="2" t="s">
        <v>114</v>
      </c>
    </row>
    <row r="29" customFormat="false" ht="15" hidden="false" customHeight="false" outlineLevel="0" collapsed="false">
      <c r="A29" s="6" t="s">
        <v>115</v>
      </c>
      <c r="B29" s="19" t="n">
        <v>0.6</v>
      </c>
      <c r="C29" s="2" t="s">
        <v>116</v>
      </c>
    </row>
    <row r="31" customFormat="false" ht="15" hidden="false" customHeight="false" outlineLevel="0" collapsed="false">
      <c r="A31" s="5" t="s">
        <v>117</v>
      </c>
      <c r="B31" s="5" t="s">
        <v>97</v>
      </c>
      <c r="C31" s="5" t="s">
        <v>98</v>
      </c>
    </row>
    <row r="32" customFormat="false" ht="16.4" hidden="false" customHeight="false" outlineLevel="0" collapsed="false">
      <c r="A32" s="6" t="s">
        <v>118</v>
      </c>
      <c r="B32" s="18" t="n">
        <v>0.3</v>
      </c>
      <c r="C32" s="2" t="s">
        <v>119</v>
      </c>
    </row>
    <row r="33" customFormat="false" ht="15" hidden="false" customHeight="false" outlineLevel="0" collapsed="false">
      <c r="A33" s="6" t="s">
        <v>120</v>
      </c>
      <c r="B33" s="18" t="n">
        <v>0.07</v>
      </c>
      <c r="C33" s="2" t="s">
        <v>121</v>
      </c>
    </row>
    <row r="34" customFormat="false" ht="15" hidden="false" customHeight="false" outlineLevel="0" collapsed="false">
      <c r="A34" s="6" t="s">
        <v>122</v>
      </c>
      <c r="B34" s="18" t="n">
        <v>0.02</v>
      </c>
      <c r="C34" s="2" t="s">
        <v>123</v>
      </c>
    </row>
    <row r="35" customFormat="false" ht="15" hidden="false" customHeight="false" outlineLevel="0" collapsed="false">
      <c r="A35" s="6" t="s">
        <v>124</v>
      </c>
      <c r="B35" s="19" t="n">
        <v>0.23</v>
      </c>
      <c r="C35" s="2" t="s">
        <v>125</v>
      </c>
    </row>
    <row r="36" customFormat="false" ht="15" hidden="false" customHeight="false" outlineLevel="0" collapsed="false">
      <c r="A36" s="6" t="s">
        <v>126</v>
      </c>
      <c r="B36" s="19" t="n">
        <v>0.2</v>
      </c>
      <c r="C36" s="2" t="s">
        <v>127</v>
      </c>
    </row>
    <row r="37" customFormat="false" ht="15" hidden="false" customHeight="false" outlineLevel="0" collapsed="false">
      <c r="A37" s="6" t="s">
        <v>128</v>
      </c>
      <c r="B37" s="19" t="n">
        <v>0.25</v>
      </c>
      <c r="C37" s="2" t="s">
        <v>129</v>
      </c>
    </row>
    <row r="38" customFormat="false" ht="15" hidden="false" customHeight="false" outlineLevel="0" collapsed="false">
      <c r="A38" s="6" t="s">
        <v>130</v>
      </c>
      <c r="B38" s="18" t="n">
        <v>0.25</v>
      </c>
      <c r="C38" s="2" t="s">
        <v>131</v>
      </c>
    </row>
    <row r="39" customFormat="false" ht="15" hidden="false" customHeight="false" outlineLevel="0" collapsed="false">
      <c r="A39" s="6" t="s">
        <v>132</v>
      </c>
      <c r="B39" s="18" t="n">
        <v>0.01</v>
      </c>
      <c r="C39" s="2" t="s">
        <v>133</v>
      </c>
    </row>
    <row r="40" customFormat="false" ht="16.4" hidden="false" customHeight="false" outlineLevel="0" collapsed="false">
      <c r="A40" s="6" t="s">
        <v>134</v>
      </c>
      <c r="B40" s="7" t="n">
        <v>2000</v>
      </c>
      <c r="C40" s="2" t="s">
        <v>135</v>
      </c>
    </row>
    <row r="41" customFormat="false" ht="15" hidden="false" customHeight="false" outlineLevel="0" collapsed="false">
      <c r="A41" s="6" t="s">
        <v>136</v>
      </c>
      <c r="B41" s="7" t="n">
        <v>0</v>
      </c>
      <c r="C41" s="2" t="s">
        <v>137</v>
      </c>
    </row>
    <row r="42" customFormat="false" ht="16.4" hidden="false" customHeight="false" outlineLevel="0" collapsed="false">
      <c r="A42" s="6" t="s">
        <v>138</v>
      </c>
      <c r="B42" s="21" t="n">
        <v>4</v>
      </c>
      <c r="C42" s="2" t="s">
        <v>139</v>
      </c>
    </row>
    <row r="43" customFormat="false" ht="16.4" hidden="false" customHeight="false" outlineLevel="0" collapsed="false">
      <c r="A43" s="6" t="s">
        <v>140</v>
      </c>
      <c r="B43" s="21" t="n">
        <v>5</v>
      </c>
      <c r="C43" s="2" t="s">
        <v>141</v>
      </c>
    </row>
    <row r="44" customFormat="false" ht="16.4" hidden="false" customHeight="false" outlineLevel="0" collapsed="false">
      <c r="A44" s="6" t="s">
        <v>142</v>
      </c>
      <c r="B44" s="21" t="n">
        <v>6</v>
      </c>
      <c r="C4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 t="s">
        <v>143</v>
      </c>
    </row>
    <row r="2" customFormat="false" ht="16.4" hidden="false" customHeight="false" outlineLevel="0" collapsed="false">
      <c r="A2" s="2" t="s">
        <v>144</v>
      </c>
    </row>
    <row r="3" customFormat="false" ht="15" hidden="false" customHeight="false" outlineLevel="0" collapsed="false">
      <c r="A3" s="5" t="s">
        <v>20</v>
      </c>
      <c r="B3" s="5" t="s">
        <v>22</v>
      </c>
      <c r="C3" s="5" t="s">
        <v>86</v>
      </c>
      <c r="D3" s="5" t="s">
        <v>87</v>
      </c>
      <c r="E3" s="5" t="s">
        <v>88</v>
      </c>
      <c r="F3" s="5" t="s">
        <v>89</v>
      </c>
      <c r="G3" s="5" t="s">
        <v>90</v>
      </c>
    </row>
    <row r="4" customFormat="false" ht="15" hidden="false" customHeight="false" outlineLevel="0" collapsed="false">
      <c r="A4" s="9" t="s">
        <v>145</v>
      </c>
      <c r="B4" s="10"/>
      <c r="C4" s="10"/>
      <c r="D4" s="10"/>
      <c r="E4" s="10"/>
      <c r="F4" s="10"/>
      <c r="G4" s="10"/>
    </row>
    <row r="5" customFormat="false" ht="15" hidden="false" customHeight="false" outlineLevel="0" collapsed="false">
      <c r="A5" s="6" t="s">
        <v>146</v>
      </c>
      <c r="C5" s="22" t="n">
        <f aca="false">مفروضات!B12</f>
        <v>0.35</v>
      </c>
      <c r="D5" s="22" t="n">
        <f aca="false">مفروضات!C12</f>
        <v>0.3</v>
      </c>
      <c r="E5" s="22" t="n">
        <f aca="false">مفروضات!D12</f>
        <v>0.28</v>
      </c>
      <c r="F5" s="22" t="n">
        <f aca="false">مفروضات!E12</f>
        <v>0.25</v>
      </c>
      <c r="G5" s="22" t="n">
        <f aca="false">مفروضات!F12</f>
        <v>0.25</v>
      </c>
    </row>
    <row r="6" customFormat="false" ht="15" hidden="false" customHeight="false" outlineLevel="0" collapsed="false">
      <c r="A6" s="6" t="s">
        <v>147</v>
      </c>
      <c r="B6" s="23" t="n">
        <v>1</v>
      </c>
      <c r="C6" s="24" t="n">
        <f aca="false">B6*(1+C5)</f>
        <v>1.35</v>
      </c>
      <c r="D6" s="24" t="n">
        <f aca="false">C6*(1+D5)</f>
        <v>1.755</v>
      </c>
      <c r="E6" s="24" t="n">
        <f aca="false">D6*(1+E5)</f>
        <v>2.2464</v>
      </c>
      <c r="F6" s="24" t="n">
        <f aca="false">E6*(1+F5)</f>
        <v>2.808</v>
      </c>
      <c r="G6" s="24" t="n">
        <f aca="false">F6*(1+G5)</f>
        <v>3.51</v>
      </c>
    </row>
    <row r="7" customFormat="false" ht="15" hidden="false" customHeight="false" outlineLevel="0" collapsed="false">
      <c r="A7" s="9" t="s">
        <v>148</v>
      </c>
      <c r="B7" s="10"/>
      <c r="C7" s="10"/>
      <c r="D7" s="10"/>
      <c r="E7" s="10"/>
      <c r="F7" s="10"/>
      <c r="G7" s="10"/>
    </row>
    <row r="8" customFormat="false" ht="15" hidden="false" customHeight="false" outlineLevel="0" collapsed="false">
      <c r="A8" s="6" t="s">
        <v>24</v>
      </c>
      <c r="B8" s="25" t="n">
        <f aca="false">تاریخی!$C$4</f>
        <v>200000</v>
      </c>
      <c r="C8" s="8" t="n">
        <f aca="false">B8*(1+مفروضات!$B$7)</f>
        <v>206000</v>
      </c>
      <c r="D8" s="8" t="n">
        <f aca="false">C8*(1+مفروضات!$B$7)</f>
        <v>212180</v>
      </c>
      <c r="E8" s="8" t="n">
        <f aca="false">D8*(1+مفروضات!$B$7)</f>
        <v>218545.4</v>
      </c>
      <c r="F8" s="8" t="n">
        <f aca="false">E8*(1+مفروضات!$B$7)</f>
        <v>225101.762</v>
      </c>
      <c r="G8" s="8" t="n">
        <f aca="false">F8*(1+مفروضات!$B$7)</f>
        <v>231854.81486</v>
      </c>
    </row>
    <row r="9" customFormat="false" ht="15" hidden="false" customHeight="false" outlineLevel="0" collapsed="false">
      <c r="A9" s="6" t="s">
        <v>149</v>
      </c>
      <c r="B9" s="26" t="n">
        <f aca="false">IF(تاریخی!$C$4=0,0,تاریخی!$C$5/تاریخی!$C$4)</f>
        <v>25</v>
      </c>
      <c r="C9" s="27" t="n">
        <f aca="false">B9*(1+C5)*(1+مفروضات!$B$8)</f>
        <v>33.75</v>
      </c>
      <c r="D9" s="27" t="n">
        <f aca="false">C9*(1+D5)*(1+مفروضات!$B$8)</f>
        <v>43.875</v>
      </c>
      <c r="E9" s="27" t="n">
        <f aca="false">D9*(1+E5)*(1+مفروضات!$B$8)</f>
        <v>56.16</v>
      </c>
      <c r="F9" s="27" t="n">
        <f aca="false">E9*(1+F5)*(1+مفروضات!$B$8)</f>
        <v>70.2</v>
      </c>
      <c r="G9" s="27" t="n">
        <f aca="false">F9*(1+G5)*(1+مفروضات!$B$8)</f>
        <v>87.75</v>
      </c>
    </row>
    <row r="10" customFormat="false" ht="15" hidden="false" customHeight="false" outlineLevel="0" collapsed="false">
      <c r="A10" s="6" t="s">
        <v>150</v>
      </c>
      <c r="B10" s="26" t="n">
        <f aca="false">IF(تاریخی!$C$4=0,0,(تاریخی!$C$6-تاریخی!$C$33)*مفروضات!$B$19/تاریخی!$C$4)</f>
        <v>13.08</v>
      </c>
      <c r="C10" s="27" t="n">
        <f aca="false">B10*(1+C5)*(1+مفروضات!$B$9)</f>
        <v>17.658</v>
      </c>
      <c r="D10" s="27" t="n">
        <f aca="false">C10*(1+D5)*(1+مفروضات!$B$9)</f>
        <v>22.9554</v>
      </c>
      <c r="E10" s="27" t="n">
        <f aca="false">D10*(1+E5)*(1+مفروضات!$B$9)</f>
        <v>29.382912</v>
      </c>
      <c r="F10" s="27" t="n">
        <f aca="false">E10*(1+F5)*(1+مفروضات!$B$9)</f>
        <v>36.72864</v>
      </c>
      <c r="G10" s="27" t="n">
        <f aca="false">F10*(1+G5)*(1+مفروضات!$B$9)</f>
        <v>45.9108</v>
      </c>
    </row>
    <row r="11" customFormat="false" ht="15" hidden="false" customHeight="false" outlineLevel="0" collapsed="false">
      <c r="A11" s="6" t="s">
        <v>151</v>
      </c>
      <c r="B11" s="25" t="n">
        <f aca="false">(تاریخی!$C$6-تاریخی!$C$33)*(1-مفروضات!$B$19)</f>
        <v>654000</v>
      </c>
      <c r="C11" s="8" t="n">
        <f aca="false">B11*(1+C5)</f>
        <v>882900</v>
      </c>
      <c r="D11" s="8" t="n">
        <f aca="false">C11*(1+D5)</f>
        <v>1147770</v>
      </c>
      <c r="E11" s="8" t="n">
        <f aca="false">D11*(1+E5)</f>
        <v>1469145.6</v>
      </c>
      <c r="F11" s="8" t="n">
        <f aca="false">E11*(1+F5)</f>
        <v>1836432</v>
      </c>
      <c r="G11" s="8" t="n">
        <f aca="false">F11*(1+G5)</f>
        <v>2295540</v>
      </c>
    </row>
    <row r="12" customFormat="false" ht="15" hidden="false" customHeight="false" outlineLevel="0" collapsed="false">
      <c r="A12" s="9" t="s">
        <v>27</v>
      </c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6" t="s">
        <v>26</v>
      </c>
      <c r="B13" s="25" t="n">
        <f aca="false">تاریخی!$C$5</f>
        <v>5000000</v>
      </c>
      <c r="C13" s="8" t="n">
        <f aca="false">C8*C9</f>
        <v>6952500</v>
      </c>
      <c r="D13" s="8" t="n">
        <f aca="false">D8*D9</f>
        <v>9309397.5</v>
      </c>
      <c r="E13" s="8" t="n">
        <f aca="false">E8*E9</f>
        <v>12273509.664</v>
      </c>
      <c r="F13" s="8" t="n">
        <f aca="false">F8*F9</f>
        <v>15802143.6924</v>
      </c>
      <c r="G13" s="8" t="n">
        <f aca="false">G8*G9</f>
        <v>20345260.003965</v>
      </c>
    </row>
    <row r="14" customFormat="false" ht="15" hidden="false" customHeight="false" outlineLevel="0" collapsed="false">
      <c r="A14" s="6" t="s">
        <v>152</v>
      </c>
      <c r="B14" s="25" t="n">
        <f aca="false">تاریخی!$C$6</f>
        <v>3500000</v>
      </c>
      <c r="C14" s="8" t="n">
        <f aca="false">C8*C10+C11+C15</f>
        <v>4770448</v>
      </c>
      <c r="D14" s="8" t="n">
        <f aca="false">D8*D10+D11+D15</f>
        <v>6277196.772</v>
      </c>
      <c r="E14" s="8" t="n">
        <f aca="false">E8*E10+E11+E15</f>
        <v>8167395.8562048</v>
      </c>
      <c r="F14" s="8" t="n">
        <f aca="false">F8*F10+F11+F15</f>
        <v>10409348.5798637</v>
      </c>
      <c r="G14" s="8" t="n">
        <f aca="false">G8*G10+G11+G15</f>
        <v>13285091.5340745</v>
      </c>
    </row>
    <row r="15" customFormat="false" ht="15" hidden="false" customHeight="false" outlineLevel="0" collapsed="false">
      <c r="A15" s="6" t="s">
        <v>62</v>
      </c>
      <c r="B15" s="25" t="n">
        <f aca="false">تاریخی!$C$33</f>
        <v>230000</v>
      </c>
      <c r="C15" s="8" t="n">
        <f aca="false">B33*مفروضات!$B$22</f>
        <v>250000</v>
      </c>
      <c r="D15" s="8" t="n">
        <f aca="false">C33*مفروضات!$B$22</f>
        <v>258750</v>
      </c>
      <c r="E15" s="8" t="n">
        <f aca="false">D33*مفروضات!$B$22</f>
        <v>276750</v>
      </c>
      <c r="F15" s="8" t="n">
        <f aca="false">E33*مفروضات!$B$22</f>
        <v>305235</v>
      </c>
      <c r="G15" s="8" t="n">
        <f aca="false">F33*مفروضات!$B$22</f>
        <v>344911.5</v>
      </c>
    </row>
    <row r="16" customFormat="false" ht="15" hidden="false" customHeight="false" outlineLevel="0" collapsed="false">
      <c r="A16" s="6" t="s">
        <v>153</v>
      </c>
      <c r="B16" s="8" t="n">
        <f aca="false">B13-B14</f>
        <v>1500000</v>
      </c>
      <c r="C16" s="8" t="n">
        <f aca="false">C13-C14</f>
        <v>2182052</v>
      </c>
      <c r="D16" s="8" t="n">
        <f aca="false">D13-D14</f>
        <v>3032200.728</v>
      </c>
      <c r="E16" s="8" t="n">
        <f aca="false">E13-E14</f>
        <v>4106113.8077952</v>
      </c>
      <c r="F16" s="8" t="n">
        <f aca="false">F13-F14</f>
        <v>5392795.11253632</v>
      </c>
      <c r="G16" s="8" t="n">
        <f aca="false">G13-G14</f>
        <v>7060168.46989051</v>
      </c>
    </row>
    <row r="17" customFormat="false" ht="15" hidden="false" customHeight="false" outlineLevel="0" collapsed="false">
      <c r="A17" s="6" t="s">
        <v>154</v>
      </c>
      <c r="B17" s="25" t="n">
        <f aca="false">تاریخی!$C$7</f>
        <v>300000</v>
      </c>
      <c r="C17" s="8" t="n">
        <f aca="false">C13*مفروضات!$B$20</f>
        <v>417150</v>
      </c>
      <c r="D17" s="8" t="n">
        <f aca="false">D13*مفروضات!$B$20</f>
        <v>558563.85</v>
      </c>
      <c r="E17" s="8" t="n">
        <f aca="false">E13*مفروضات!$B$20</f>
        <v>736410.57984</v>
      </c>
      <c r="F17" s="8" t="n">
        <f aca="false">F13*مفروضات!$B$20</f>
        <v>948128.621544</v>
      </c>
      <c r="G17" s="8" t="n">
        <f aca="false">G13*مفروضات!$B$20</f>
        <v>1220715.6002379</v>
      </c>
    </row>
    <row r="18" customFormat="false" ht="15" hidden="false" customHeight="false" outlineLevel="0" collapsed="false">
      <c r="A18" s="6" t="s">
        <v>155</v>
      </c>
      <c r="B18" s="25" t="n">
        <f aca="false">تاریخی!$C$8</f>
        <v>-30000</v>
      </c>
      <c r="C18" s="8" t="n">
        <f aca="false">C13*مفروضات!$B$21</f>
        <v>0</v>
      </c>
      <c r="D18" s="8" t="n">
        <f aca="false">D13*مفروضات!$B$21</f>
        <v>0</v>
      </c>
      <c r="E18" s="8" t="n">
        <f aca="false">E13*مفروضات!$B$21</f>
        <v>0</v>
      </c>
      <c r="F18" s="8" t="n">
        <f aca="false">F13*مفروضات!$B$21</f>
        <v>0</v>
      </c>
      <c r="G18" s="8" t="n">
        <f aca="false">G13*مفروضات!$B$21</f>
        <v>0</v>
      </c>
    </row>
    <row r="19" customFormat="false" ht="16.4" hidden="false" customHeight="false" outlineLevel="0" collapsed="false">
      <c r="A19" s="6" t="s">
        <v>156</v>
      </c>
      <c r="B19" s="8" t="n">
        <f aca="false">B16-B17+B18</f>
        <v>1170000</v>
      </c>
      <c r="C19" s="8" t="n">
        <f aca="false">C16-C17+C18</f>
        <v>1764902</v>
      </c>
      <c r="D19" s="8" t="n">
        <f aca="false">D16-D17+D18</f>
        <v>2473636.878</v>
      </c>
      <c r="E19" s="8" t="n">
        <f aca="false">E16-E17+E18</f>
        <v>3369703.2279552</v>
      </c>
      <c r="F19" s="8" t="n">
        <f aca="false">F16-F17+F18</f>
        <v>4444666.49099232</v>
      </c>
      <c r="G19" s="8" t="n">
        <f aca="false">G16-G17+G18</f>
        <v>5839452.86965261</v>
      </c>
    </row>
    <row r="20" customFormat="false" ht="15" hidden="false" customHeight="false" outlineLevel="0" collapsed="false">
      <c r="A20" s="6" t="s">
        <v>157</v>
      </c>
      <c r="B20" s="8" t="n">
        <f aca="false">B19+B15</f>
        <v>1400000</v>
      </c>
      <c r="C20" s="8" t="n">
        <f aca="false">C19+C15</f>
        <v>2014902</v>
      </c>
      <c r="D20" s="8" t="n">
        <f aca="false">D19+D15</f>
        <v>2732386.878</v>
      </c>
      <c r="E20" s="8" t="n">
        <f aca="false">E19+E15</f>
        <v>3646453.2279552</v>
      </c>
      <c r="F20" s="8" t="n">
        <f aca="false">F19+F15</f>
        <v>4749901.49099232</v>
      </c>
      <c r="G20" s="8" t="n">
        <f aca="false">G19+G15</f>
        <v>6184364.36965261</v>
      </c>
    </row>
    <row r="21" customFormat="false" ht="15" hidden="false" customHeight="false" outlineLevel="0" collapsed="false">
      <c r="A21" s="6" t="s">
        <v>158</v>
      </c>
      <c r="B21" s="25" t="n">
        <f aca="false">تاریخی!$C$10</f>
        <v>230000</v>
      </c>
      <c r="C21" s="8" t="n">
        <f aca="false">(B37+C37)/2*مفروضات!$B$27</f>
        <v>230000</v>
      </c>
      <c r="D21" s="8" t="n">
        <f aca="false">(C37+D37)/2*مفروضات!$B$27</f>
        <v>230000</v>
      </c>
      <c r="E21" s="8" t="n">
        <f aca="false">(D37+E37)/2*مفروضات!$B$27</f>
        <v>230000</v>
      </c>
      <c r="F21" s="8" t="n">
        <f aca="false">(E37+F37)/2*مفروضات!$B$27</f>
        <v>230000</v>
      </c>
      <c r="G21" s="8" t="n">
        <f aca="false">(F37+G37)/2*مفروضات!$B$27</f>
        <v>230000</v>
      </c>
    </row>
    <row r="22" customFormat="false" ht="15" hidden="false" customHeight="false" outlineLevel="0" collapsed="false">
      <c r="A22" s="6" t="s">
        <v>159</v>
      </c>
      <c r="B22" s="25" t="n">
        <f aca="false">تاریخی!$C$11</f>
        <v>50000</v>
      </c>
      <c r="C22" s="8" t="n">
        <f aca="false">MAX(0,B30)*مفروضات!$B$28</f>
        <v>60000</v>
      </c>
      <c r="D22" s="8" t="n">
        <f aca="false">MAX(0,C30)*مفروضات!$B$28</f>
        <v>117830.51260274</v>
      </c>
      <c r="E22" s="8" t="n">
        <f aca="false">MAX(0,D30)*مفروضات!$B$28</f>
        <v>205960.21446274</v>
      </c>
      <c r="F22" s="8" t="n">
        <f aca="false">MAX(0,E30)*مفروضات!$B$28</f>
        <v>265912.145406299</v>
      </c>
      <c r="G22" s="8" t="n">
        <f aca="false">MAX(0,F30)*مفروضات!$B$28</f>
        <v>386245.31912045</v>
      </c>
    </row>
    <row r="23" customFormat="false" ht="15" hidden="false" customHeight="false" outlineLevel="0" collapsed="false">
      <c r="A23" s="6" t="s">
        <v>35</v>
      </c>
      <c r="B23" s="8" t="n">
        <f aca="false">B19-B21+B22</f>
        <v>990000</v>
      </c>
      <c r="C23" s="8" t="n">
        <f aca="false">C19-C21+C22</f>
        <v>1594902</v>
      </c>
      <c r="D23" s="8" t="n">
        <f aca="false">D19-D21+D22</f>
        <v>2361467.39060274</v>
      </c>
      <c r="E23" s="8" t="n">
        <f aca="false">E19-E21+E22</f>
        <v>3345663.44241794</v>
      </c>
      <c r="F23" s="8" t="n">
        <f aca="false">F19-F21+F22</f>
        <v>4480578.63639862</v>
      </c>
      <c r="G23" s="8" t="n">
        <f aca="false">G19-G21+G22</f>
        <v>5995698.18877306</v>
      </c>
    </row>
    <row r="24" customFormat="false" ht="15" hidden="false" customHeight="false" outlineLevel="0" collapsed="false">
      <c r="A24" s="6" t="s">
        <v>160</v>
      </c>
      <c r="B24" s="25" t="n">
        <f aca="false">تاریخی!$C$13</f>
        <v>160000</v>
      </c>
      <c r="C24" s="8" t="n">
        <f aca="false">MAX(0,C23)*مفروضات!B13</f>
        <v>239235.3</v>
      </c>
      <c r="D24" s="8" t="n">
        <f aca="false">MAX(0,D23)*مفروضات!C13</f>
        <v>354220.108590411</v>
      </c>
      <c r="E24" s="8" t="n">
        <f aca="false">MAX(0,E23)*مفروضات!D13</f>
        <v>836415.860604485</v>
      </c>
      <c r="F24" s="8" t="n">
        <f aca="false">MAX(0,F23)*مفروضات!E13</f>
        <v>1120144.65909965</v>
      </c>
      <c r="G24" s="8" t="n">
        <f aca="false">MAX(0,G23)*مفروضات!F13</f>
        <v>1498924.54719327</v>
      </c>
    </row>
    <row r="25" customFormat="false" ht="15" hidden="false" customHeight="false" outlineLevel="0" collapsed="false">
      <c r="A25" s="6" t="s">
        <v>37</v>
      </c>
      <c r="B25" s="8" t="n">
        <f aca="false">B23-B24</f>
        <v>830000</v>
      </c>
      <c r="C25" s="8" t="n">
        <f aca="false">C23-C24</f>
        <v>1355666.7</v>
      </c>
      <c r="D25" s="8" t="n">
        <f aca="false">D23-D24</f>
        <v>2007247.28201233</v>
      </c>
      <c r="E25" s="8" t="n">
        <f aca="false">E23-E24</f>
        <v>2509247.58181346</v>
      </c>
      <c r="F25" s="8" t="n">
        <f aca="false">F23-F24</f>
        <v>3360433.97729896</v>
      </c>
      <c r="G25" s="8" t="n">
        <f aca="false">G23-G24</f>
        <v>4496773.6415798</v>
      </c>
    </row>
    <row r="26" customFormat="false" ht="15" hidden="false" customHeight="false" outlineLevel="0" collapsed="false">
      <c r="A26" s="6" t="s">
        <v>161</v>
      </c>
      <c r="B26" s="25" t="n">
        <f aca="false">تاریخی!$C$16</f>
        <v>4000</v>
      </c>
      <c r="C26" s="8" t="n">
        <f aca="false">B26+مفروضات!B16/1000</f>
        <v>4000</v>
      </c>
      <c r="D26" s="8" t="n">
        <f aca="false">C26+مفروضات!C16/1000</f>
        <v>4000</v>
      </c>
      <c r="E26" s="8" t="n">
        <f aca="false">D26+مفروضات!D16/1000</f>
        <v>4000</v>
      </c>
      <c r="F26" s="8" t="n">
        <f aca="false">E26+مفروضات!E16/1000</f>
        <v>4000</v>
      </c>
      <c r="G26" s="8" t="n">
        <f aca="false">F26+مفروضات!F16/1000</f>
        <v>4000</v>
      </c>
    </row>
    <row r="27" customFormat="false" ht="15" hidden="false" customHeight="false" outlineLevel="0" collapsed="false">
      <c r="A27" s="6" t="s">
        <v>42</v>
      </c>
      <c r="B27" s="8" t="n">
        <f aca="false">IF(B26=0,0,B25/B26)</f>
        <v>207.5</v>
      </c>
      <c r="C27" s="8" t="n">
        <f aca="false">IF(C26=0,0,C25/C26)</f>
        <v>338.916675</v>
      </c>
      <c r="D27" s="8" t="n">
        <f aca="false">IF(D26=0,0,D25/D26)</f>
        <v>501.811820503082</v>
      </c>
      <c r="E27" s="8" t="n">
        <f aca="false">IF(E26=0,0,E25/E26)</f>
        <v>627.311895453364</v>
      </c>
      <c r="F27" s="8" t="n">
        <f aca="false">IF(F26=0,0,F25/F26)</f>
        <v>840.108494324741</v>
      </c>
      <c r="G27" s="8" t="n">
        <f aca="false">IF(G26=0,0,G25/G26)</f>
        <v>1124.19341039495</v>
      </c>
    </row>
    <row r="28" customFormat="false" ht="15" hidden="false" customHeight="false" outlineLevel="0" collapsed="false">
      <c r="A28" s="6" t="s">
        <v>162</v>
      </c>
      <c r="C28" s="8" t="n">
        <f aca="false">MAX(0,B25)*مفروضات!$B$29</f>
        <v>498000</v>
      </c>
      <c r="D28" s="8" t="n">
        <f aca="false">MAX(0,C25)*مفروضات!$B$29</f>
        <v>813400.02</v>
      </c>
      <c r="E28" s="8" t="n">
        <f aca="false">MAX(0,D25)*مفروضات!$B$29</f>
        <v>1204348.3692074</v>
      </c>
      <c r="F28" s="8" t="n">
        <f aca="false">MAX(0,E25)*مفروضات!$B$29</f>
        <v>1505548.54908807</v>
      </c>
      <c r="G28" s="8" t="n">
        <f aca="false">MAX(0,F25)*مفروضات!$B$29</f>
        <v>2016260.38637938</v>
      </c>
    </row>
    <row r="29" customFormat="false" ht="15" hidden="false" customHeight="false" outlineLevel="0" collapsed="false">
      <c r="A29" s="9" t="s">
        <v>43</v>
      </c>
      <c r="B29" s="10"/>
      <c r="C29" s="10"/>
      <c r="D29" s="10"/>
      <c r="E29" s="10"/>
      <c r="F29" s="10"/>
      <c r="G29" s="10"/>
    </row>
    <row r="30" customFormat="false" ht="15" hidden="false" customHeight="false" outlineLevel="0" collapsed="false">
      <c r="A30" s="6" t="s">
        <v>163</v>
      </c>
      <c r="B30" s="25" t="n">
        <f aca="false">تاریخی!$C$19</f>
        <v>300000</v>
      </c>
      <c r="C30" s="8" t="n">
        <f aca="false">B30+C51</f>
        <v>589152.563013699</v>
      </c>
      <c r="D30" s="8" t="n">
        <f aca="false">C30+D51</f>
        <v>1029801.0723137</v>
      </c>
      <c r="E30" s="8" t="n">
        <f aca="false">D30+E51</f>
        <v>1329560.72703149</v>
      </c>
      <c r="F30" s="8" t="n">
        <f aca="false">E30+F51</f>
        <v>1931226.59560225</v>
      </c>
      <c r="G30" s="8" t="n">
        <f aca="false">F30+G51</f>
        <v>2777794.0586564</v>
      </c>
    </row>
    <row r="31" customFormat="false" ht="15" hidden="false" customHeight="false" outlineLevel="0" collapsed="false">
      <c r="A31" s="6" t="s">
        <v>46</v>
      </c>
      <c r="B31" s="25" t="n">
        <f aca="false">تاریخی!$C$20</f>
        <v>820000</v>
      </c>
      <c r="C31" s="8" t="n">
        <f aca="false">C13*مفروضات!$B$24/365</f>
        <v>1142876.71232877</v>
      </c>
      <c r="D31" s="8" t="n">
        <f aca="false">D13*مفروضات!$B$24/365</f>
        <v>1530311.91780822</v>
      </c>
      <c r="E31" s="8" t="n">
        <f aca="false">E13*مفروضات!$B$24/365</f>
        <v>2017563.23243836</v>
      </c>
      <c r="F31" s="8" t="n">
        <f aca="false">F13*مفروضات!$B$24/365</f>
        <v>2597612.66176438</v>
      </c>
      <c r="G31" s="8" t="n">
        <f aca="false">G13*مفروضات!$B$24/365</f>
        <v>3344426.30202164</v>
      </c>
    </row>
    <row r="32" customFormat="false" ht="15" hidden="false" customHeight="false" outlineLevel="0" collapsed="false">
      <c r="A32" s="6" t="s">
        <v>164</v>
      </c>
      <c r="B32" s="25" t="n">
        <f aca="false">تاریخی!$C$21</f>
        <v>860000</v>
      </c>
      <c r="C32" s="8" t="n">
        <f aca="false">C14*مفروضات!$B$25/365</f>
        <v>1176274.84931507</v>
      </c>
      <c r="D32" s="8" t="n">
        <f aca="false">D14*مفروضات!$B$25/365</f>
        <v>1547801.94378082</v>
      </c>
      <c r="E32" s="8" t="n">
        <f aca="false">E14*مفروضات!$B$25/365</f>
        <v>2013878.43029707</v>
      </c>
      <c r="F32" s="8" t="n">
        <f aca="false">F14*مفروضات!$B$25/365</f>
        <v>2566688.69092529</v>
      </c>
      <c r="G32" s="8" t="n">
        <f aca="false">G14*مفروضات!$B$25/365</f>
        <v>3275775.9947033</v>
      </c>
    </row>
    <row r="33" customFormat="false" ht="15" hidden="false" customHeight="false" outlineLevel="0" collapsed="false">
      <c r="A33" s="6" t="s">
        <v>165</v>
      </c>
      <c r="B33" s="25" t="n">
        <f aca="false">تاریخی!$C$22</f>
        <v>2500000</v>
      </c>
      <c r="C33" s="8" t="n">
        <f aca="false">B33-C47-C15</f>
        <v>2587500</v>
      </c>
      <c r="D33" s="8" t="n">
        <f aca="false">C33-D47-D15</f>
        <v>2767500</v>
      </c>
      <c r="E33" s="8" t="n">
        <f aca="false">D33-E47-E15</f>
        <v>3052350</v>
      </c>
      <c r="F33" s="8" t="n">
        <f aca="false">E33-F47-F15</f>
        <v>3449115</v>
      </c>
      <c r="G33" s="8" t="n">
        <f aca="false">F33-G47-G15</f>
        <v>3981703.5</v>
      </c>
    </row>
    <row r="34" customFormat="false" ht="15" hidden="false" customHeight="false" outlineLevel="0" collapsed="false">
      <c r="A34" s="6" t="s">
        <v>49</v>
      </c>
      <c r="B34" s="25" t="n">
        <f aca="false">تاریخی!$C$23</f>
        <v>150000</v>
      </c>
      <c r="C34" s="8" t="n">
        <f aca="false">B34</f>
        <v>150000</v>
      </c>
      <c r="D34" s="8" t="n">
        <f aca="false">C34</f>
        <v>150000</v>
      </c>
      <c r="E34" s="8" t="n">
        <f aca="false">D34</f>
        <v>150000</v>
      </c>
      <c r="F34" s="8" t="n">
        <f aca="false">E34</f>
        <v>150000</v>
      </c>
      <c r="G34" s="8" t="n">
        <f aca="false">F34</f>
        <v>150000</v>
      </c>
    </row>
    <row r="35" customFormat="false" ht="15" hidden="false" customHeight="false" outlineLevel="0" collapsed="false">
      <c r="A35" s="6" t="s">
        <v>51</v>
      </c>
      <c r="B35" s="8" t="n">
        <f aca="false">B30+B31+B32+B33+B34</f>
        <v>4630000</v>
      </c>
      <c r="C35" s="8" t="n">
        <f aca="false">C30+C31+C32+C33+C34</f>
        <v>5645804.12465753</v>
      </c>
      <c r="D35" s="8" t="n">
        <f aca="false">D30+D31+D32+D33+D34</f>
        <v>7025414.93390274</v>
      </c>
      <c r="E35" s="8" t="n">
        <f aca="false">E30+E31+E32+E33+E34</f>
        <v>8563352.38976692</v>
      </c>
      <c r="F35" s="8" t="n">
        <f aca="false">F30+F31+F32+F33+F34</f>
        <v>10694642.9482919</v>
      </c>
      <c r="G35" s="8" t="n">
        <f aca="false">G30+G31+G32+G33+G34</f>
        <v>13529699.8553813</v>
      </c>
    </row>
    <row r="36" customFormat="false" ht="15" hidden="false" customHeight="false" outlineLevel="0" collapsed="false">
      <c r="A36" s="6" t="s">
        <v>52</v>
      </c>
      <c r="B36" s="25" t="n">
        <f aca="false">تاریخی!$C$25</f>
        <v>430000</v>
      </c>
      <c r="C36" s="8" t="n">
        <f aca="false">C14*مفروضات!$B$26/365</f>
        <v>588137.424657534</v>
      </c>
      <c r="D36" s="8" t="n">
        <f aca="false">D14*مفروضات!$B$26/365</f>
        <v>773900.971890411</v>
      </c>
      <c r="E36" s="8" t="n">
        <f aca="false">E14*مفروضات!$B$26/365</f>
        <v>1006939.21514854</v>
      </c>
      <c r="F36" s="8" t="n">
        <f aca="false">F14*مفروضات!$B$26/365</f>
        <v>1283344.34546265</v>
      </c>
      <c r="G36" s="8" t="n">
        <f aca="false">G14*مفروضات!$B$26/365</f>
        <v>1637887.99735165</v>
      </c>
    </row>
    <row r="37" customFormat="false" ht="15" hidden="false" customHeight="false" outlineLevel="0" collapsed="false">
      <c r="A37" s="6" t="s">
        <v>53</v>
      </c>
      <c r="B37" s="25" t="n">
        <f aca="false">تاریخی!$C$26</f>
        <v>1000000</v>
      </c>
      <c r="C37" s="8" t="n">
        <f aca="false">B37+مفروضات!B15</f>
        <v>1000000</v>
      </c>
      <c r="D37" s="8" t="n">
        <f aca="false">C37+مفروضات!C15</f>
        <v>1000000</v>
      </c>
      <c r="E37" s="8" t="n">
        <f aca="false">D37+مفروضات!D15</f>
        <v>1000000</v>
      </c>
      <c r="F37" s="8" t="n">
        <f aca="false">E37+مفروضات!E15</f>
        <v>1000000</v>
      </c>
      <c r="G37" s="8" t="n">
        <f aca="false">F37+مفروضات!F15</f>
        <v>1000000</v>
      </c>
    </row>
    <row r="38" customFormat="false" ht="15" hidden="false" customHeight="false" outlineLevel="0" collapsed="false">
      <c r="A38" s="6" t="s">
        <v>55</v>
      </c>
      <c r="B38" s="25" t="n">
        <f aca="false">تاریخی!$C$27</f>
        <v>200000</v>
      </c>
      <c r="C38" s="8" t="n">
        <f aca="false">B38</f>
        <v>200000</v>
      </c>
      <c r="D38" s="8" t="n">
        <f aca="false">C38</f>
        <v>200000</v>
      </c>
      <c r="E38" s="8" t="n">
        <f aca="false">D38</f>
        <v>200000</v>
      </c>
      <c r="F38" s="8" t="n">
        <f aca="false">E38</f>
        <v>200000</v>
      </c>
      <c r="G38" s="8" t="n">
        <f aca="false">F38</f>
        <v>200000</v>
      </c>
    </row>
    <row r="39" customFormat="false" ht="15" hidden="false" customHeight="false" outlineLevel="0" collapsed="false">
      <c r="A39" s="6" t="s">
        <v>166</v>
      </c>
      <c r="B39" s="25" t="n">
        <f aca="false">تاریخی!$C$28</f>
        <v>3000000</v>
      </c>
      <c r="C39" s="8" t="n">
        <f aca="false">B39+C25-C28+مفروضات!B16</f>
        <v>3857666.7</v>
      </c>
      <c r="D39" s="8" t="n">
        <f aca="false">C39+D25-D28+مفروضات!C16</f>
        <v>5051513.96201233</v>
      </c>
      <c r="E39" s="8" t="n">
        <f aca="false">D39+E25-E28+مفروضات!D16</f>
        <v>6356413.17461839</v>
      </c>
      <c r="F39" s="8" t="n">
        <f aca="false">E39+F25-F28+مفروضات!E16</f>
        <v>8211298.60282928</v>
      </c>
      <c r="G39" s="8" t="n">
        <f aca="false">F39+G25-G28+مفروضات!F16</f>
        <v>10691811.8580297</v>
      </c>
    </row>
    <row r="40" customFormat="false" ht="15" hidden="false" customHeight="false" outlineLevel="0" collapsed="false">
      <c r="A40" s="6" t="s">
        <v>167</v>
      </c>
      <c r="B40" s="8" t="n">
        <f aca="false">B36+B37+B38+B39</f>
        <v>4630000</v>
      </c>
      <c r="C40" s="8" t="n">
        <f aca="false">C36+C37+C38+C39</f>
        <v>5645804.12465753</v>
      </c>
      <c r="D40" s="8" t="n">
        <f aca="false">D36+D37+D38+D39</f>
        <v>7025414.93390274</v>
      </c>
      <c r="E40" s="8" t="n">
        <f aca="false">E36+E37+E38+E39</f>
        <v>8563352.38976692</v>
      </c>
      <c r="F40" s="8" t="n">
        <f aca="false">F36+F37+F38+F39</f>
        <v>10694642.9482919</v>
      </c>
      <c r="G40" s="8" t="n">
        <f aca="false">G36+G37+G38+G39</f>
        <v>13529699.8553813</v>
      </c>
    </row>
    <row r="41" customFormat="false" ht="15" hidden="false" customHeight="false" outlineLevel="0" collapsed="false">
      <c r="A41" s="6" t="s">
        <v>57</v>
      </c>
      <c r="B41" s="8" t="n">
        <f aca="false">ROUND(B35-B40,0)</f>
        <v>0</v>
      </c>
      <c r="C41" s="8" t="n">
        <f aca="false">ROUND(C35-C40,0)</f>
        <v>0</v>
      </c>
      <c r="D41" s="8" t="n">
        <f aca="false">ROUND(D35-D40,0)</f>
        <v>0</v>
      </c>
      <c r="E41" s="8" t="n">
        <f aca="false">ROUND(E35-E40,0)</f>
        <v>0</v>
      </c>
      <c r="F41" s="8" t="n">
        <f aca="false">ROUND(F35-F40,0)</f>
        <v>0</v>
      </c>
      <c r="G41" s="8" t="n">
        <f aca="false">ROUND(G35-G40,0)</f>
        <v>0</v>
      </c>
    </row>
    <row r="42" customFormat="false" ht="15" hidden="false" customHeight="false" outlineLevel="0" collapsed="false">
      <c r="A42" s="9" t="s">
        <v>58</v>
      </c>
      <c r="B42" s="10"/>
      <c r="C42" s="10"/>
      <c r="D42" s="10"/>
      <c r="E42" s="10"/>
      <c r="F42" s="10"/>
      <c r="G42" s="10"/>
    </row>
    <row r="43" customFormat="false" ht="15" hidden="false" customHeight="false" outlineLevel="0" collapsed="false">
      <c r="A43" s="6" t="s">
        <v>37</v>
      </c>
      <c r="C43" s="8" t="n">
        <f aca="false">C25</f>
        <v>1355666.7</v>
      </c>
      <c r="D43" s="8" t="n">
        <f aca="false">D25</f>
        <v>2007247.28201233</v>
      </c>
      <c r="E43" s="8" t="n">
        <f aca="false">E25</f>
        <v>2509247.58181346</v>
      </c>
      <c r="F43" s="8" t="n">
        <f aca="false">F25</f>
        <v>3360433.97729896</v>
      </c>
      <c r="G43" s="8" t="n">
        <f aca="false">G25</f>
        <v>4496773.6415798</v>
      </c>
    </row>
    <row r="44" customFormat="false" ht="15" hidden="false" customHeight="false" outlineLevel="0" collapsed="false">
      <c r="A44" s="6" t="s">
        <v>62</v>
      </c>
      <c r="C44" s="8" t="n">
        <f aca="false">C15</f>
        <v>250000</v>
      </c>
      <c r="D44" s="8" t="n">
        <f aca="false">D15</f>
        <v>258750</v>
      </c>
      <c r="E44" s="8" t="n">
        <f aca="false">E15</f>
        <v>276750</v>
      </c>
      <c r="F44" s="8" t="n">
        <f aca="false">F15</f>
        <v>305235</v>
      </c>
      <c r="G44" s="8" t="n">
        <f aca="false">G15</f>
        <v>344911.5</v>
      </c>
    </row>
    <row r="45" customFormat="false" ht="15" hidden="false" customHeight="false" outlineLevel="0" collapsed="false">
      <c r="A45" s="6" t="s">
        <v>168</v>
      </c>
      <c r="C45" s="8" t="n">
        <f aca="false">-((C31+C32-C36)-(B31+B32-B36))</f>
        <v>-481014.136986301</v>
      </c>
      <c r="D45" s="8" t="n">
        <f aca="false">-((D31+D32-D36)-(C31+C32-C36))</f>
        <v>-573198.752712329</v>
      </c>
      <c r="E45" s="8" t="n">
        <f aca="false">-((E31+E32-E36)-(D31+D32-D36))</f>
        <v>-720289.557888263</v>
      </c>
      <c r="F45" s="8" t="n">
        <f aca="false">-((F31+F32-F36)-(E31+E32-E36))</f>
        <v>-856454.559640136</v>
      </c>
      <c r="G45" s="8" t="n">
        <f aca="false">-((G31+G32-G36)-(F31+F32-F36))</f>
        <v>-1101357.29214626</v>
      </c>
    </row>
    <row r="46" customFormat="false" ht="15" hidden="false" customHeight="false" outlineLevel="0" collapsed="false">
      <c r="A46" s="6" t="s">
        <v>169</v>
      </c>
      <c r="B46" s="25" t="n">
        <f aca="false">تاریخی!$C$31</f>
        <v>900000</v>
      </c>
      <c r="C46" s="8" t="n">
        <f aca="false">C43+C44+C45</f>
        <v>1124652.5630137</v>
      </c>
      <c r="D46" s="8" t="n">
        <f aca="false">D43+D44+D45</f>
        <v>1692798.5293</v>
      </c>
      <c r="E46" s="8" t="n">
        <f aca="false">E43+E44+E45</f>
        <v>2065708.02392519</v>
      </c>
      <c r="F46" s="8" t="n">
        <f aca="false">F43+F44+F45</f>
        <v>2809214.41765883</v>
      </c>
      <c r="G46" s="8" t="n">
        <f aca="false">G43+G44+G45</f>
        <v>3740327.84943353</v>
      </c>
    </row>
    <row r="47" customFormat="false" ht="16.4" hidden="false" customHeight="false" outlineLevel="0" collapsed="false">
      <c r="A47" s="6" t="s">
        <v>170</v>
      </c>
      <c r="B47" s="25" t="n">
        <f aca="false">-تاریخی!$C$32</f>
        <v>-450000</v>
      </c>
      <c r="C47" s="8" t="n">
        <f aca="false">-(مفروضات!$B$23*C6+مفروضات!B14)</f>
        <v>-337500</v>
      </c>
      <c r="D47" s="8" t="n">
        <f aca="false">-(مفروضات!$B$23*D6+مفروضات!C14)</f>
        <v>-438750</v>
      </c>
      <c r="E47" s="8" t="n">
        <f aca="false">-(مفروضات!$B$23*E6+مفروضات!D14)</f>
        <v>-561600</v>
      </c>
      <c r="F47" s="8" t="n">
        <f aca="false">-(مفروضات!$B$23*F6+مفروضات!E14)</f>
        <v>-702000</v>
      </c>
      <c r="G47" s="8" t="n">
        <f aca="false">-(مفروضات!$B$23*G6+مفروضات!F14)</f>
        <v>-877500</v>
      </c>
    </row>
    <row r="48" customFormat="false" ht="15" hidden="false" customHeight="false" outlineLevel="0" collapsed="false">
      <c r="A48" s="6" t="s">
        <v>171</v>
      </c>
      <c r="C48" s="25" t="n">
        <f aca="false">مفروضات!B15</f>
        <v>0</v>
      </c>
      <c r="D48" s="25" t="n">
        <f aca="false">مفروضات!C15</f>
        <v>0</v>
      </c>
      <c r="E48" s="25" t="n">
        <f aca="false">مفروضات!D15</f>
        <v>0</v>
      </c>
      <c r="F48" s="25" t="n">
        <f aca="false">مفروضات!E15</f>
        <v>0</v>
      </c>
      <c r="G48" s="25" t="n">
        <f aca="false">مفروضات!F15</f>
        <v>0</v>
      </c>
    </row>
    <row r="49" customFormat="false" ht="15" hidden="false" customHeight="false" outlineLevel="0" collapsed="false">
      <c r="A49" s="6" t="s">
        <v>172</v>
      </c>
      <c r="C49" s="25" t="n">
        <f aca="false">مفروضات!B16</f>
        <v>0</v>
      </c>
      <c r="D49" s="25" t="n">
        <f aca="false">مفروضات!C16</f>
        <v>0</v>
      </c>
      <c r="E49" s="25" t="n">
        <f aca="false">مفروضات!D16</f>
        <v>0</v>
      </c>
      <c r="F49" s="25" t="n">
        <f aca="false">مفروضات!E16</f>
        <v>0</v>
      </c>
      <c r="G49" s="25" t="n">
        <f aca="false">مفروضات!F16</f>
        <v>0</v>
      </c>
    </row>
    <row r="50" customFormat="false" ht="15" hidden="false" customHeight="false" outlineLevel="0" collapsed="false">
      <c r="A50" s="6" t="s">
        <v>162</v>
      </c>
      <c r="C50" s="8" t="n">
        <f aca="false">-C28</f>
        <v>-498000</v>
      </c>
      <c r="D50" s="8" t="n">
        <f aca="false">-D28</f>
        <v>-813400.02</v>
      </c>
      <c r="E50" s="8" t="n">
        <f aca="false">-E28</f>
        <v>-1204348.3692074</v>
      </c>
      <c r="F50" s="8" t="n">
        <f aca="false">-F28</f>
        <v>-1505548.54908807</v>
      </c>
      <c r="G50" s="8" t="n">
        <f aca="false">-G28</f>
        <v>-2016260.38637938</v>
      </c>
    </row>
    <row r="51" customFormat="false" ht="15" hidden="false" customHeight="false" outlineLevel="0" collapsed="false">
      <c r="A51" s="6" t="s">
        <v>173</v>
      </c>
      <c r="C51" s="8" t="n">
        <f aca="false">C46+C47+C48+C49+C50</f>
        <v>289152.563013699</v>
      </c>
      <c r="D51" s="8" t="n">
        <f aca="false">D46+D47+D48+D49+D50</f>
        <v>440648.5093</v>
      </c>
      <c r="E51" s="8" t="n">
        <f aca="false">E46+E47+E48+E49+E50</f>
        <v>299759.654717796</v>
      </c>
      <c r="F51" s="8" t="n">
        <f aca="false">F46+F47+F48+F49+F50</f>
        <v>601665.868570755</v>
      </c>
      <c r="G51" s="8" t="n">
        <f aca="false">G46+G47+G48+G49+G50</f>
        <v>846567.463054155</v>
      </c>
    </row>
    <row r="52" customFormat="false" ht="15" hidden="false" customHeight="false" outlineLevel="0" collapsed="false">
      <c r="A52" s="9" t="s">
        <v>174</v>
      </c>
      <c r="B52" s="10"/>
      <c r="C52" s="10"/>
      <c r="D52" s="10"/>
      <c r="E52" s="10"/>
      <c r="F52" s="10"/>
      <c r="G52" s="10"/>
    </row>
    <row r="53" customFormat="false" ht="15" hidden="false" customHeight="false" outlineLevel="0" collapsed="false">
      <c r="A53" s="6" t="s">
        <v>65</v>
      </c>
      <c r="B53" s="11" t="n">
        <f aca="false">IF(B13=0,0,B16/B13)</f>
        <v>0.3</v>
      </c>
      <c r="C53" s="11" t="n">
        <f aca="false">IF(C13=0,0,C16/C13)</f>
        <v>0.313851420352391</v>
      </c>
      <c r="D53" s="11" t="n">
        <f aca="false">IF(D13=0,0,D16/D13)</f>
        <v>0.325713960328797</v>
      </c>
      <c r="E53" s="11" t="n">
        <f aca="false">IF(E13=0,0,E16/E13)</f>
        <v>0.334550908436487</v>
      </c>
      <c r="F53" s="11" t="n">
        <f aca="false">IF(F13=0,0,F16/F13)</f>
        <v>0.341269843985153</v>
      </c>
      <c r="G53" s="11" t="n">
        <f aca="false">IF(G13=0,0,G16/G13)</f>
        <v>0.347017854208528</v>
      </c>
    </row>
    <row r="54" customFormat="false" ht="15" hidden="false" customHeight="false" outlineLevel="0" collapsed="false">
      <c r="A54" s="6" t="s">
        <v>66</v>
      </c>
      <c r="B54" s="11" t="n">
        <f aca="false">IF(B13=0,0,B19/B13)</f>
        <v>0.234</v>
      </c>
      <c r="C54" s="11" t="n">
        <f aca="false">IF(C13=0,0,C19/C13)</f>
        <v>0.253851420352391</v>
      </c>
      <c r="D54" s="11" t="n">
        <f aca="false">IF(D13=0,0,D19/D13)</f>
        <v>0.265713960328797</v>
      </c>
      <c r="E54" s="11" t="n">
        <f aca="false">IF(E13=0,0,E19/E13)</f>
        <v>0.274550908436487</v>
      </c>
      <c r="F54" s="11" t="n">
        <f aca="false">IF(F13=0,0,F19/F13)</f>
        <v>0.281269843985153</v>
      </c>
      <c r="G54" s="11" t="n">
        <f aca="false">IF(G13=0,0,G19/G13)</f>
        <v>0.287017854208528</v>
      </c>
    </row>
    <row r="55" customFormat="false" ht="15" hidden="false" customHeight="false" outlineLevel="0" collapsed="false">
      <c r="A55" s="6" t="s">
        <v>73</v>
      </c>
      <c r="C55" s="11" t="n">
        <f aca="false">IF(B13=0,0,C13/B13-1)</f>
        <v>0.3905</v>
      </c>
      <c r="D55" s="11" t="n">
        <f aca="false">IF(C13=0,0,D13/C13-1)</f>
        <v>0.339</v>
      </c>
      <c r="E55" s="11" t="n">
        <f aca="false">IF(D13=0,0,E13/D13-1)</f>
        <v>0.3184</v>
      </c>
      <c r="F55" s="11" t="n">
        <f aca="false">IF(E13=0,0,F13/E13-1)</f>
        <v>0.2875</v>
      </c>
      <c r="G55" s="11" t="n">
        <f aca="false">IF(F13=0,0,G13/F13-1)</f>
        <v>0.2875</v>
      </c>
    </row>
    <row r="56" customFormat="false" ht="15" hidden="false" customHeight="false" outlineLevel="0" collapsed="false">
      <c r="A56" s="6" t="s">
        <v>175</v>
      </c>
      <c r="C56" s="11" t="n">
        <f aca="false">(1+C55)/(1+C5)-1</f>
        <v>0.03</v>
      </c>
      <c r="D56" s="11" t="n">
        <f aca="false">(1+D55)/(1+D5)-1</f>
        <v>0.03</v>
      </c>
      <c r="E56" s="11" t="n">
        <f aca="false">(1+E55)/(1+E5)-1</f>
        <v>0.03</v>
      </c>
      <c r="F56" s="11" t="n">
        <f aca="false">(1+F55)/(1+F5)-1</f>
        <v>0.0299999999999998</v>
      </c>
      <c r="G56" s="11" t="n">
        <f aca="false">(1+G55)/(1+G5)-1</f>
        <v>0.0299999999999998</v>
      </c>
    </row>
    <row r="57" customFormat="false" ht="15" hidden="false" customHeight="false" outlineLevel="0" collapsed="false">
      <c r="A57" s="6" t="s">
        <v>176</v>
      </c>
      <c r="C57" s="11" t="n">
        <f aca="false">IF((C33+C31+C32-C36)=0,0,C19*(1-مفروضات!B13)/(C33+C31+C32-C36))</f>
        <v>0.347380291557156</v>
      </c>
      <c r="D57" s="11" t="n">
        <f aca="false">IF((D33+D31+D32-D36)=0,0,D19*(1-مفروضات!C13)/(D33+D31+D32-D36))</f>
        <v>0.414572234672562</v>
      </c>
      <c r="E57" s="11" t="n">
        <f aca="false">IF((E33+E31+E32-E36)=0,0,E19*(1-مفروضات!D13)/(E33+E31+E32-E36))</f>
        <v>0.415885928243984</v>
      </c>
      <c r="F57" s="11" t="n">
        <f aca="false">IF((F33+F31+F32-F36)=0,0,F19*(1-مفروضات!E13)/(F33+F31+F32-F36))</f>
        <v>0.454770412208448</v>
      </c>
      <c r="G57" s="11" t="n">
        <f aca="false">IF((G33+G31+G32-G36)=0,0,G19*(1-مفروضات!F13)/(G33+G31+G32-G36))</f>
        <v>0.488574403828789</v>
      </c>
    </row>
    <row r="58" customFormat="false" ht="15" hidden="false" customHeight="false" outlineLevel="0" collapsed="false">
      <c r="A58" s="6" t="s">
        <v>177</v>
      </c>
      <c r="B58" s="12" t="n">
        <f aca="false">IF(B25=0,0,B46/B25)</f>
        <v>1.08433734939759</v>
      </c>
      <c r="C58" s="12" t="n">
        <f aca="false">IF(C25=0,0,C46/C25)</f>
        <v>0.829593706929365</v>
      </c>
      <c r="D58" s="12" t="n">
        <f aca="false">IF(D25=0,0,D46/D25)</f>
        <v>0.843343291317309</v>
      </c>
      <c r="E58" s="12" t="n">
        <f aca="false">IF(E25=0,0,E46/E25)</f>
        <v>0.823238025174179</v>
      </c>
      <c r="F58" s="12" t="n">
        <f aca="false">IF(F25=0,0,F46/F25)</f>
        <v>0.83596774602214</v>
      </c>
      <c r="G58" s="12" t="n">
        <f aca="false">IF(G25=0,0,G46/G25)</f>
        <v>0.831780326865528</v>
      </c>
    </row>
    <row r="59" customFormat="false" ht="15" hidden="false" customHeight="false" outlineLevel="0" collapsed="false">
      <c r="A59" s="6" t="s">
        <v>178</v>
      </c>
      <c r="C59" s="28" t="str">
        <f aca="false">IF(C30&lt;0,"نقد منفی: استقراض لازم است",IF(C41&lt;&gt;0,"تراز نیست",""))</f>
        <v/>
      </c>
      <c r="D59" s="28" t="str">
        <f aca="false">IF(D30&lt;0,"نقد منفی: استقراض لازم است",IF(D41&lt;&gt;0,"تراز نیست",""))</f>
        <v/>
      </c>
      <c r="E59" s="28" t="str">
        <f aca="false">IF(E30&lt;0,"نقد منفی: استقراض لازم است",IF(E41&lt;&gt;0,"تراز نیست",""))</f>
        <v/>
      </c>
      <c r="F59" s="28" t="str">
        <f aca="false">IF(F30&lt;0,"نقد منفی: استقراض لازم است",IF(F41&lt;&gt;0,"تراز نیست",""))</f>
        <v/>
      </c>
      <c r="G59" s="28" t="str">
        <f aca="false">IF(G30&lt;0,"نقد منفی: استقراض لازم است",IF(G41&lt;&gt;0,"تراز نیست",""))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5"/>
  </cols>
  <sheetData>
    <row r="1" customFormat="false" ht="23.1" hidden="false" customHeight="false" outlineLevel="0" collapsed="false">
      <c r="A1" s="1" t="s">
        <v>179</v>
      </c>
    </row>
    <row r="2" customFormat="false" ht="16.4" hidden="false" customHeight="false" outlineLevel="0" collapsed="false">
      <c r="A2" s="2" t="s">
        <v>180</v>
      </c>
    </row>
    <row r="4" customFormat="false" ht="15" hidden="false" customHeight="false" outlineLevel="0" collapsed="false">
      <c r="A4" s="9" t="s">
        <v>181</v>
      </c>
      <c r="B4" s="10"/>
      <c r="C4" s="10"/>
      <c r="D4" s="10"/>
      <c r="E4" s="10"/>
      <c r="F4" s="10"/>
      <c r="G4" s="10"/>
    </row>
    <row r="5" customFormat="false" ht="15" hidden="false" customHeight="false" outlineLevel="0" collapsed="false">
      <c r="A5" s="6" t="s">
        <v>182</v>
      </c>
      <c r="B5" s="11" t="n">
        <f aca="false">مفروضات!$B$32+مفروضات!$B$33+مفروضات!$B$34</f>
        <v>0.39</v>
      </c>
    </row>
    <row r="6" customFormat="false" ht="15" hidden="false" customHeight="false" outlineLevel="0" collapsed="false">
      <c r="A6" s="6" t="s">
        <v>183</v>
      </c>
      <c r="B6" s="11" t="n">
        <f aca="false">مفروضات!$B$35*(1-مفروضات!$B$37)</f>
        <v>0.1725</v>
      </c>
    </row>
    <row r="7" customFormat="false" ht="16.4" hidden="false" customHeight="false" outlineLevel="0" collapsed="false">
      <c r="A7" s="6" t="s">
        <v>184</v>
      </c>
      <c r="B7" s="17" t="n">
        <f aca="false">(1-مفروضات!$B$36)*B5+مفروضات!$B$36*B6</f>
        <v>0.3465</v>
      </c>
    </row>
    <row r="8" customFormat="false" ht="16.4" hidden="false" customHeight="false" outlineLevel="0" collapsed="false">
      <c r="A8" s="6" t="s">
        <v>185</v>
      </c>
      <c r="B8" s="11" t="n">
        <f aca="false">(1+B7)/(1+مفروضات!$B$38)-1</f>
        <v>0.0771999999999999</v>
      </c>
    </row>
    <row r="9" customFormat="false" ht="15" hidden="false" customHeight="false" outlineLevel="0" collapsed="false">
      <c r="A9" s="6" t="s">
        <v>186</v>
      </c>
      <c r="B9" s="11" t="n">
        <f aca="false">(1+مفروضات!$B$38)*(1+مفروضات!$B$39)-1</f>
        <v>0.2625</v>
      </c>
    </row>
    <row r="10" customFormat="false" ht="16.4" hidden="false" customHeight="false" outlineLevel="0" collapsed="false">
      <c r="A10" s="6" t="s">
        <v>187</v>
      </c>
      <c r="B10" s="29" t="str">
        <f aca="false">IF(B7&gt;B9,"درست","خطا: نرخ تنزیل را بالا یا رشد را پایین ببرید")</f>
        <v>درست</v>
      </c>
    </row>
    <row r="12" customFormat="false" ht="16.4" hidden="false" customHeight="false" outlineLevel="0" collapsed="false">
      <c r="A12" s="9" t="s">
        <v>188</v>
      </c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5" t="s">
        <v>20</v>
      </c>
      <c r="B13" s="5"/>
      <c r="C13" s="5" t="s">
        <v>86</v>
      </c>
      <c r="D13" s="5" t="s">
        <v>87</v>
      </c>
      <c r="E13" s="5" t="s">
        <v>88</v>
      </c>
      <c r="F13" s="5" t="s">
        <v>89</v>
      </c>
      <c r="G13" s="5" t="s">
        <v>90</v>
      </c>
    </row>
    <row r="14" customFormat="false" ht="16.4" hidden="false" customHeight="false" outlineLevel="0" collapsed="false">
      <c r="A14" s="6" t="s">
        <v>189</v>
      </c>
      <c r="C14" s="13" t="n">
        <v>1</v>
      </c>
      <c r="D14" s="13" t="n">
        <v>2</v>
      </c>
      <c r="E14" s="13" t="n">
        <v>3</v>
      </c>
      <c r="F14" s="13" t="n">
        <v>4</v>
      </c>
      <c r="G14" s="13" t="n">
        <v>5</v>
      </c>
    </row>
    <row r="15" customFormat="false" ht="16.4" hidden="false" customHeight="false" outlineLevel="0" collapsed="false">
      <c r="A15" s="6" t="s">
        <v>156</v>
      </c>
      <c r="C15" s="25" t="n">
        <f aca="false">مدل!C19</f>
        <v>1764902</v>
      </c>
      <c r="D15" s="25" t="n">
        <f aca="false">مدل!D19</f>
        <v>2473636.878</v>
      </c>
      <c r="E15" s="25" t="n">
        <f aca="false">مدل!E19</f>
        <v>3369703.2279552</v>
      </c>
      <c r="F15" s="25" t="n">
        <f aca="false">مدل!F19</f>
        <v>4444666.49099232</v>
      </c>
      <c r="G15" s="25" t="n">
        <f aca="false">مدل!G19</f>
        <v>5839452.86965261</v>
      </c>
    </row>
    <row r="16" customFormat="false" ht="15" hidden="false" customHeight="false" outlineLevel="0" collapsed="false">
      <c r="A16" s="6" t="s">
        <v>67</v>
      </c>
      <c r="C16" s="22" t="n">
        <f aca="false">مفروضات!B13</f>
        <v>0.15</v>
      </c>
      <c r="D16" s="22" t="n">
        <f aca="false">مفروضات!C13</f>
        <v>0.15</v>
      </c>
      <c r="E16" s="22" t="n">
        <f aca="false">مفروضات!D13</f>
        <v>0.25</v>
      </c>
      <c r="F16" s="22" t="n">
        <f aca="false">مفروضات!E13</f>
        <v>0.25</v>
      </c>
      <c r="G16" s="22" t="n">
        <f aca="false">مفروضات!F13</f>
        <v>0.25</v>
      </c>
    </row>
    <row r="17" customFormat="false" ht="16.4" hidden="false" customHeight="false" outlineLevel="0" collapsed="false">
      <c r="A17" s="6" t="s">
        <v>190</v>
      </c>
      <c r="C17" s="8" t="n">
        <f aca="false">C15*(1-C16)</f>
        <v>1500166.7</v>
      </c>
      <c r="D17" s="8" t="n">
        <f aca="false">D15*(1-D16)</f>
        <v>2102591.3463</v>
      </c>
      <c r="E17" s="8" t="n">
        <f aca="false">E15*(1-E16)</f>
        <v>2527277.4209664</v>
      </c>
      <c r="F17" s="8" t="n">
        <f aca="false">F15*(1-F16)</f>
        <v>3333499.86824424</v>
      </c>
      <c r="G17" s="8" t="n">
        <f aca="false">G15*(1-G16)</f>
        <v>4379589.65223946</v>
      </c>
    </row>
    <row r="18" customFormat="false" ht="16.4" hidden="false" customHeight="false" outlineLevel="0" collapsed="false">
      <c r="A18" s="6" t="s">
        <v>191</v>
      </c>
      <c r="C18" s="25" t="n">
        <f aca="false">مدل!C15</f>
        <v>250000</v>
      </c>
      <c r="D18" s="25" t="n">
        <f aca="false">مدل!D15</f>
        <v>258750</v>
      </c>
      <c r="E18" s="25" t="n">
        <f aca="false">مدل!E15</f>
        <v>276750</v>
      </c>
      <c r="F18" s="25" t="n">
        <f aca="false">مدل!F15</f>
        <v>305235</v>
      </c>
      <c r="G18" s="25" t="n">
        <f aca="false">مدل!G15</f>
        <v>344911.5</v>
      </c>
    </row>
    <row r="19" customFormat="false" ht="15" hidden="false" customHeight="false" outlineLevel="0" collapsed="false">
      <c r="A19" s="6" t="s">
        <v>192</v>
      </c>
      <c r="C19" s="25" t="n">
        <f aca="false">مدل!C47</f>
        <v>-337500</v>
      </c>
      <c r="D19" s="25" t="n">
        <f aca="false">مدل!D47</f>
        <v>-438750</v>
      </c>
      <c r="E19" s="25" t="n">
        <f aca="false">مدل!E47</f>
        <v>-561600</v>
      </c>
      <c r="F19" s="25" t="n">
        <f aca="false">مدل!F47</f>
        <v>-702000</v>
      </c>
      <c r="G19" s="25" t="n">
        <f aca="false">مدل!G47</f>
        <v>-877500</v>
      </c>
    </row>
    <row r="20" customFormat="false" ht="15" hidden="false" customHeight="false" outlineLevel="0" collapsed="false">
      <c r="A20" s="6" t="s">
        <v>193</v>
      </c>
      <c r="C20" s="25" t="n">
        <f aca="false">مدل!C45</f>
        <v>-481014.136986301</v>
      </c>
      <c r="D20" s="25" t="n">
        <f aca="false">مدل!D45</f>
        <v>-573198.752712329</v>
      </c>
      <c r="E20" s="25" t="n">
        <f aca="false">مدل!E45</f>
        <v>-720289.557888263</v>
      </c>
      <c r="F20" s="25" t="n">
        <f aca="false">مدل!F45</f>
        <v>-856454.559640136</v>
      </c>
      <c r="G20" s="25" t="n">
        <f aca="false">مدل!G45</f>
        <v>-1101357.29214626</v>
      </c>
    </row>
    <row r="21" customFormat="false" ht="15" hidden="false" customHeight="false" outlineLevel="0" collapsed="false">
      <c r="A21" s="14" t="s">
        <v>194</v>
      </c>
      <c r="C21" s="30" t="n">
        <f aca="false">C17+C18+C19+C20</f>
        <v>931652.563013699</v>
      </c>
      <c r="D21" s="30" t="n">
        <f aca="false">D17+D18+D19+D20</f>
        <v>1349392.59358767</v>
      </c>
      <c r="E21" s="30" t="n">
        <f aca="false">E17+E18+E19+E20</f>
        <v>1522137.86307814</v>
      </c>
      <c r="F21" s="30" t="n">
        <f aca="false">F17+F18+F19+F20</f>
        <v>2080280.3086041</v>
      </c>
      <c r="G21" s="30" t="n">
        <f aca="false">G17+G18+G19+G20</f>
        <v>2745643.8600932</v>
      </c>
    </row>
    <row r="22" customFormat="false" ht="16.4" hidden="false" customHeight="false" outlineLevel="0" collapsed="false">
      <c r="A22" s="6" t="s">
        <v>195</v>
      </c>
      <c r="C22" s="24" t="n">
        <f aca="false">1/(1+$B$7)^C14</f>
        <v>0.742666171555886</v>
      </c>
      <c r="D22" s="24" t="n">
        <f aca="false">1/(1+$B$7)^D14</f>
        <v>0.551553042373476</v>
      </c>
      <c r="E22" s="24" t="n">
        <f aca="false">1/(1+$B$7)^E14</f>
        <v>0.409619786389511</v>
      </c>
      <c r="F22" s="24" t="n">
        <f aca="false">1/(1+$B$7)^F14</f>
        <v>0.304210758551438</v>
      </c>
      <c r="G22" s="24" t="n">
        <f aca="false">1/(1+$B$7)^G14</f>
        <v>0.225927039399508</v>
      </c>
    </row>
    <row r="23" customFormat="false" ht="16.4" hidden="false" customHeight="false" outlineLevel="0" collapsed="false">
      <c r="A23" s="6" t="s">
        <v>196</v>
      </c>
      <c r="C23" s="8" t="n">
        <f aca="false">C21*C22</f>
        <v>691906.842193612</v>
      </c>
      <c r="D23" s="8" t="n">
        <f aca="false">D21*D22</f>
        <v>744261.590349516</v>
      </c>
      <c r="E23" s="8" t="n">
        <f aca="false">E21*E22</f>
        <v>623497.786329453</v>
      </c>
      <c r="F23" s="8" t="n">
        <f aca="false">F21*F22</f>
        <v>632843.650680073</v>
      </c>
      <c r="G23" s="8" t="n">
        <f aca="false">G21*G22</f>
        <v>620315.188556293</v>
      </c>
    </row>
    <row r="25" customFormat="false" ht="15" hidden="false" customHeight="false" outlineLevel="0" collapsed="false">
      <c r="A25" s="9" t="s">
        <v>197</v>
      </c>
      <c r="B25" s="10"/>
      <c r="C25" s="10"/>
      <c r="D25" s="10"/>
      <c r="E25" s="10"/>
      <c r="F25" s="10"/>
      <c r="G25" s="10"/>
    </row>
    <row r="26" customFormat="false" ht="15" hidden="false" customHeight="false" outlineLevel="0" collapsed="false">
      <c r="A26" s="6" t="s">
        <v>198</v>
      </c>
      <c r="B26" s="8" t="n">
        <f aca="false">SUM(C23:G23)</f>
        <v>3312825.05810895</v>
      </c>
    </row>
    <row r="27" customFormat="false" ht="15" hidden="false" customHeight="false" outlineLevel="0" collapsed="false">
      <c r="A27" s="6" t="s">
        <v>199</v>
      </c>
      <c r="B27" s="8" t="n">
        <f aca="false">IF(B7&gt;B9,G21*(1+B9)/(B7-B9),0)</f>
        <v>41266373.4924721</v>
      </c>
    </row>
    <row r="28" customFormat="false" ht="15" hidden="false" customHeight="false" outlineLevel="0" collapsed="false">
      <c r="A28" s="6" t="s">
        <v>200</v>
      </c>
      <c r="B28" s="8" t="n">
        <f aca="false">B27*G22</f>
        <v>9323189.58990856</v>
      </c>
    </row>
    <row r="29" customFormat="false" ht="16.4" hidden="false" customHeight="false" outlineLevel="0" collapsed="false">
      <c r="A29" s="14" t="s">
        <v>201</v>
      </c>
      <c r="B29" s="30" t="n">
        <f aca="false">B26+B28</f>
        <v>12636014.6480175</v>
      </c>
    </row>
    <row r="30" customFormat="false" ht="16.4" hidden="false" customHeight="false" outlineLevel="0" collapsed="false">
      <c r="A30" s="6" t="s">
        <v>202</v>
      </c>
      <c r="B30" s="11" t="n">
        <f aca="false">IF(B29=0,0,B28/B29)</f>
        <v>0.737826747563267</v>
      </c>
    </row>
    <row r="31" customFormat="false" ht="15" hidden="false" customHeight="false" outlineLevel="0" collapsed="false">
      <c r="A31" s="6" t="s">
        <v>203</v>
      </c>
      <c r="B31" s="25" t="n">
        <f aca="false">مدل!B37-مدل!B30</f>
        <v>700000</v>
      </c>
    </row>
    <row r="32" customFormat="false" ht="16.4" hidden="false" customHeight="false" outlineLevel="0" collapsed="false">
      <c r="A32" s="6" t="s">
        <v>204</v>
      </c>
      <c r="B32" s="25" t="n">
        <f aca="false">مفروضات!$B$41</f>
        <v>0</v>
      </c>
    </row>
    <row r="33" customFormat="false" ht="15" hidden="false" customHeight="false" outlineLevel="0" collapsed="false">
      <c r="A33" s="6" t="s">
        <v>205</v>
      </c>
      <c r="B33" s="8" t="n">
        <f aca="false">B29-B31+B32</f>
        <v>11936014.6480175</v>
      </c>
    </row>
    <row r="34" customFormat="false" ht="15" hidden="false" customHeight="false" outlineLevel="0" collapsed="false">
      <c r="A34" s="6" t="s">
        <v>161</v>
      </c>
      <c r="B34" s="25" t="n">
        <f aca="false">مدل!B26</f>
        <v>4000</v>
      </c>
    </row>
    <row r="35" customFormat="false" ht="15" hidden="false" customHeight="false" outlineLevel="0" collapsed="false">
      <c r="A35" s="14" t="s">
        <v>206</v>
      </c>
      <c r="B35" s="31" t="n">
        <f aca="false">IF(B34=0,0,B33/B34)</f>
        <v>2984.00366200438</v>
      </c>
    </row>
    <row r="36" customFormat="false" ht="15" hidden="false" customHeight="false" outlineLevel="0" collapsed="false">
      <c r="A36" s="6" t="s">
        <v>207</v>
      </c>
      <c r="B36" s="25" t="n">
        <f aca="false">مفروضات!$B$40</f>
        <v>2000</v>
      </c>
    </row>
    <row r="37" customFormat="false" ht="15" hidden="false" customHeight="false" outlineLevel="0" collapsed="false">
      <c r="A37" s="6" t="s">
        <v>208</v>
      </c>
      <c r="B37" s="11" t="n">
        <f aca="false">IF(B36=0,0,B35/B36-1)</f>
        <v>0.492001831002188</v>
      </c>
    </row>
    <row r="38" customFormat="false" ht="16.4" hidden="false" customHeight="false" outlineLevel="0" collapsed="false">
      <c r="A38" s="6" t="s">
        <v>209</v>
      </c>
      <c r="B38" s="32" t="n">
        <f aca="false">IF(مدل!G20=0,0,B27/مدل!G20)</f>
        <v>6.67269439927746</v>
      </c>
    </row>
    <row r="40" customFormat="false" ht="16.4" hidden="false" customHeight="false" outlineLevel="0" collapsed="false">
      <c r="A40" s="9" t="s">
        <v>210</v>
      </c>
      <c r="B40" s="10"/>
      <c r="C40" s="10"/>
      <c r="D40" s="10"/>
      <c r="E40" s="10"/>
      <c r="F40" s="10"/>
      <c r="G40" s="10"/>
    </row>
    <row r="41" customFormat="false" ht="16.4" hidden="false" customHeight="false" outlineLevel="0" collapsed="false">
      <c r="A41" s="33" t="s">
        <v>211</v>
      </c>
      <c r="B41" s="34" t="n">
        <v>0</v>
      </c>
      <c r="C41" s="34" t="n">
        <v>0.01</v>
      </c>
      <c r="D41" s="34" t="n">
        <v>0.02</v>
      </c>
    </row>
    <row r="42" customFormat="false" ht="15" hidden="false" customHeight="false" outlineLevel="0" collapsed="false">
      <c r="A42" s="11" t="n">
        <f aca="false">$B$7+(-0.02)</f>
        <v>0.3265</v>
      </c>
      <c r="B42" s="8" t="n">
        <f aca="false">IF($A42&lt;=((1+مفروضات!$B$38)*(1+B$41)-1),0,(SUMPRODUCT($C$21:$G$21/(1+$A42)^$C$14:$G$14)+$G$21*(1+((1+مفروضات!$B$38)*(1+B$41)-1))/($A42-((1+مفروضات!$B$38)*(1+B$41)-1))/(1+$A42)^5-$B$31+$B$32)/$B$34)</f>
        <v>3421.27450594929</v>
      </c>
      <c r="C42" s="8" t="n">
        <f aca="false">IF($A42&lt;=((1+مفروضات!$B$38)*(1+C$41)-1),0,(SUMPRODUCT($C$21:$G$21/(1+$A42)^$C$14:$G$14)+$G$21*(1+((1+مفروضات!$B$38)*(1+C$41)-1))/($A42-((1+مفروضات!$B$38)*(1+C$41)-1))/(1+$A42)^5-$B$31+$B$32)/$B$34)</f>
        <v>3987.28410835821</v>
      </c>
      <c r="D42" s="8" t="n">
        <f aca="false">IF($A42&lt;=((1+مفروضات!$B$38)*(1+D$41)-1),0,(SUMPRODUCT($C$21:$G$21/(1+$A42)^$C$14:$G$14)+$G$21*(1+((1+مفروضات!$B$38)*(1+D$41)-1))/($A42-((1+مفروضات!$B$38)*(1+D$41)-1))/(1+$A42)^5-$B$31+$B$32)/$B$34)</f>
        <v>4828.05565368407</v>
      </c>
    </row>
    <row r="43" customFormat="false" ht="15" hidden="false" customHeight="false" outlineLevel="0" collapsed="false">
      <c r="A43" s="11" t="n">
        <f aca="false">$B$7+(-0.01)</f>
        <v>0.3365</v>
      </c>
      <c r="B43" s="8" t="n">
        <f aca="false">IF($A43&lt;=((1+مفروضات!$B$38)*(1+B$41)-1),0,(SUMPRODUCT($C$21:$G$21/(1+$A43)^$C$14:$G$14)+$G$21*(1+((1+مفروضات!$B$38)*(1+B$41)-1))/($A43-((1+مفروضات!$B$38)*(1+B$41)-1))/(1+$A43)^5-$B$31+$B$32)/$B$34)</f>
        <v>2997.62440686631</v>
      </c>
      <c r="C43" s="8" t="n">
        <f aca="false">IF($A43&lt;=((1+مفروضات!$B$38)*(1+C$41)-1),0,(SUMPRODUCT($C$21:$G$21/(1+$A43)^$C$14:$G$14)+$G$21*(1+((1+مفروضات!$B$38)*(1+C$41)-1))/($A43-((1+مفروضات!$B$38)*(1+C$41)-1))/(1+$A43)^5-$B$31+$B$32)/$B$34)</f>
        <v>3417.74168774794</v>
      </c>
      <c r="D43" s="8" t="n">
        <f aca="false">IF($A43&lt;=((1+مفروضات!$B$38)*(1+D$41)-1),0,(SUMPRODUCT($C$21:$G$21/(1+$A43)^$C$14:$G$14)+$G$21*(1+((1+مفروضات!$B$38)*(1+D$41)-1))/($A43-((1+مفروضات!$B$38)*(1+D$41)-1))/(1+$A43)^5-$B$31+$B$32)/$B$34)</f>
        <v>4008.63835110178</v>
      </c>
    </row>
    <row r="44" customFormat="false" ht="15" hidden="false" customHeight="false" outlineLevel="0" collapsed="false">
      <c r="A44" s="17" t="n">
        <f aca="false">$B$7+(0)</f>
        <v>0.3465</v>
      </c>
      <c r="B44" s="8" t="n">
        <f aca="false">IF($A44&lt;=((1+مفروضات!$B$38)*(1+B$41)-1),0,(SUMPRODUCT($C$21:$G$21/(1+$A44)^$C$14:$G$14)+$G$21*(1+((1+مفروضات!$B$38)*(1+B$41)-1))/($A44-((1+مفروضات!$B$38)*(1+B$41)-1))/(1+$A44)^5-$B$31+$B$32)/$B$34)</f>
        <v>2661.99897358259</v>
      </c>
      <c r="C44" s="8" t="n">
        <f aca="false">IF($A44&lt;=((1+مفروضات!$B$38)*(1+C$41)-1),0,(SUMPRODUCT($C$21:$G$21/(1+$A44)^$C$14:$G$14)+$G$21*(1+((1+مفروضات!$B$38)*(1+C$41)-1))/($A44-((1+مفروضات!$B$38)*(1+C$41)-1))/(1+$A44)^5-$B$31+$B$32)/$B$34)</f>
        <v>2984.00366200438</v>
      </c>
      <c r="D44" s="8" t="n">
        <f aca="false">IF($A44&lt;=((1+مفروضات!$B$38)*(1+D$41)-1),0,(SUMPRODUCT($C$21:$G$21/(1+$A44)^$C$14:$G$14)+$G$21*(1+((1+مفروضات!$B$38)*(1+D$41)-1))/($A44-((1+مفروضات!$B$38)*(1+D$41)-1))/(1+$A44)^5-$B$31+$B$32)/$B$34)</f>
        <v>3418.59740232189</v>
      </c>
    </row>
    <row r="45" customFormat="false" ht="15" hidden="false" customHeight="false" outlineLevel="0" collapsed="false">
      <c r="A45" s="11" t="n">
        <f aca="false">$B$7+(0.01)</f>
        <v>0.3565</v>
      </c>
      <c r="B45" s="8" t="n">
        <f aca="false">IF($A45&lt;=((1+مفروضات!$B$38)*(1+B$41)-1),0,(SUMPRODUCT($C$21:$G$21/(1+$A45)^$C$14:$G$14)+$G$21*(1+((1+مفروضات!$B$38)*(1+B$41)-1))/($A45-((1+مفروضات!$B$38)*(1+B$41)-1))/(1+$A45)^5-$B$31+$B$32)/$B$34)</f>
        <v>2389.59432669356</v>
      </c>
      <c r="C45" s="8" t="n">
        <f aca="false">IF($A45&lt;=((1+مفروضات!$B$38)*(1+C$41)-1),0,(SUMPRODUCT($C$21:$G$21/(1+$A45)^$C$14:$G$14)+$G$21*(1+((1+مفروضات!$B$38)*(1+C$41)-1))/($A45-((1+مفروضات!$B$38)*(1+C$41)-1))/(1+$A45)^5-$B$31+$B$32)/$B$34)</f>
        <v>2642.7208019795</v>
      </c>
      <c r="D45" s="8" t="n">
        <f aca="false">IF($A45&lt;=((1+مفروضات!$B$38)*(1+D$41)-1),0,(SUMPRODUCT($C$21:$G$21/(1+$A45)^$C$14:$G$14)+$G$21*(1+((1+مفروضات!$B$38)*(1+D$41)-1))/($A45-((1+مفروضات!$B$38)*(1+D$41)-1))/(1+$A45)^5-$B$31+$B$32)/$B$34)</f>
        <v>2973.49343532861</v>
      </c>
    </row>
    <row r="46" customFormat="false" ht="15" hidden="false" customHeight="false" outlineLevel="0" collapsed="false">
      <c r="A46" s="11" t="n">
        <f aca="false">$B$7+(0.02)</f>
        <v>0.3665</v>
      </c>
      <c r="B46" s="8" t="n">
        <f aca="false">IF($A46&lt;=((1+مفروضات!$B$38)*(1+B$41)-1),0,(SUMPRODUCT($C$21:$G$21/(1+$A46)^$C$14:$G$14)+$G$21*(1+((1+مفروضات!$B$38)*(1+B$41)-1))/($A46-((1+مفروضات!$B$38)*(1+B$41)-1))/(1+$A46)^5-$B$31+$B$32)/$B$34)</f>
        <v>2164.12330420198</v>
      </c>
      <c r="C46" s="8" t="n">
        <f aca="false">IF($A46&lt;=((1+مفروضات!$B$38)*(1+C$41)-1),0,(SUMPRODUCT($C$21:$G$21/(1+$A46)^$C$14:$G$14)+$G$21*(1+((1+مفروضات!$B$38)*(1+C$41)-1))/($A46-((1+مفروضات!$B$38)*(1+C$41)-1))/(1+$A46)^5-$B$31+$B$32)/$B$34)</f>
        <v>2367.21698783809</v>
      </c>
      <c r="D46" s="8" t="n">
        <f aca="false">IF($A46&lt;=((1+مفروضات!$B$38)*(1+D$41)-1),0,(SUMPRODUCT($C$21:$G$21/(1+$A46)^$C$14:$G$14)+$G$21*(1+((1+مفروضات!$B$38)*(1+D$41)-1))/($A46-((1+مفروضات!$B$38)*(1+D$41)-1))/(1+$A46)^5-$B$31+$B$32)/$B$34)</f>
        <v>2625.8007489704</v>
      </c>
    </row>
    <row r="48" customFormat="false" ht="16.4" hidden="false" customHeight="false" outlineLevel="0" collapsed="false">
      <c r="A48" s="9" t="s">
        <v>212</v>
      </c>
      <c r="B48" s="10"/>
      <c r="C48" s="10"/>
      <c r="D48" s="10"/>
      <c r="E48" s="10"/>
      <c r="F48" s="10"/>
      <c r="G48" s="10"/>
    </row>
    <row r="49" customFormat="false" ht="15" hidden="false" customHeight="false" outlineLevel="0" collapsed="false">
      <c r="A49" s="5" t="s">
        <v>20</v>
      </c>
      <c r="B49" s="5" t="s">
        <v>213</v>
      </c>
      <c r="C49" s="5" t="s">
        <v>214</v>
      </c>
      <c r="D49" s="5" t="s">
        <v>215</v>
      </c>
    </row>
    <row r="50" customFormat="false" ht="15" hidden="false" customHeight="false" outlineLevel="0" collapsed="false">
      <c r="A50" s="6" t="s">
        <v>216</v>
      </c>
      <c r="B50" s="35" t="n">
        <f aca="false">مفروضات!$B$42</f>
        <v>4</v>
      </c>
      <c r="C50" s="35" t="n">
        <f aca="false">مفروضات!$B$43</f>
        <v>5</v>
      </c>
      <c r="D50" s="35" t="n">
        <f aca="false">مفروضات!$B$44</f>
        <v>6</v>
      </c>
    </row>
    <row r="51" customFormat="false" ht="16.4" hidden="false" customHeight="false" outlineLevel="0" collapsed="false">
      <c r="A51" s="6" t="s">
        <v>217</v>
      </c>
      <c r="B51" s="8" t="n">
        <f aca="false">B50*مدل!$C$20</f>
        <v>8059608</v>
      </c>
      <c r="C51" s="8" t="n">
        <f aca="false">C50*مدل!$C$20</f>
        <v>10074510</v>
      </c>
      <c r="D51" s="8" t="n">
        <f aca="false">D50*مدل!$C$20</f>
        <v>12089412</v>
      </c>
    </row>
    <row r="52" customFormat="false" ht="15" hidden="false" customHeight="false" outlineLevel="0" collapsed="false">
      <c r="A52" s="6" t="s">
        <v>206</v>
      </c>
      <c r="B52" s="8" t="n">
        <f aca="false">IF($B$34=0,0,(B51-$B$31+$B$32)/$B$34)</f>
        <v>1839.902</v>
      </c>
      <c r="C52" s="8" t="n">
        <f aca="false">IF($B$34=0,0,(C51-$B$31+$B$32)/$B$34)</f>
        <v>2343.6275</v>
      </c>
      <c r="D52" s="8" t="n">
        <f aca="false">IF($B$34=0,0,(D51-$B$31+$B$32)/$B$34)</f>
        <v>2847.353</v>
      </c>
    </row>
    <row r="54" customFormat="false" ht="15" hidden="false" customHeight="false" outlineLevel="0" collapsed="false">
      <c r="A54" s="9" t="s">
        <v>218</v>
      </c>
      <c r="B54" s="10"/>
      <c r="C54" s="10"/>
      <c r="D54" s="10"/>
      <c r="E54" s="10"/>
      <c r="F54" s="10"/>
      <c r="G54" s="10"/>
    </row>
    <row r="55" customFormat="false" ht="15" hidden="false" customHeight="false" outlineLevel="0" collapsed="false">
      <c r="A55" s="5" t="s">
        <v>219</v>
      </c>
      <c r="B55" s="5" t="s">
        <v>206</v>
      </c>
      <c r="C55" s="5" t="s">
        <v>220</v>
      </c>
    </row>
    <row r="56" customFormat="false" ht="15" hidden="false" customHeight="false" outlineLevel="0" collapsed="false">
      <c r="A56" s="6" t="s">
        <v>79</v>
      </c>
      <c r="B56" s="7" t="n">
        <v>1371</v>
      </c>
      <c r="C56" s="19" t="n">
        <v>0.25</v>
      </c>
    </row>
    <row r="57" customFormat="false" ht="15" hidden="false" customHeight="false" outlineLevel="0" collapsed="false">
      <c r="A57" s="6" t="s">
        <v>80</v>
      </c>
      <c r="B57" s="7" t="n">
        <v>2984</v>
      </c>
      <c r="C57" s="19" t="n">
        <v>0.5</v>
      </c>
    </row>
    <row r="58" customFormat="false" ht="15" hidden="false" customHeight="false" outlineLevel="0" collapsed="false">
      <c r="A58" s="6" t="s">
        <v>81</v>
      </c>
      <c r="B58" s="7" t="n">
        <v>3796</v>
      </c>
      <c r="C58" s="19" t="n">
        <v>0.25</v>
      </c>
    </row>
    <row r="59" customFormat="false" ht="15" hidden="false" customHeight="false" outlineLevel="0" collapsed="false">
      <c r="A59" s="14" t="s">
        <v>221</v>
      </c>
      <c r="B59" s="30" t="n">
        <f aca="false">IF(SUM(C56:C58)=0,0,SUMPRODUCT(B56:B58,C56:C58)/SUM(C56:C58))</f>
        <v>2783.75</v>
      </c>
      <c r="C59" s="29" t="str">
        <f aca="false">IF(ROUND(SUM(C56:C58),4)=1,"","جمع احتمال‌ها باید ۱۰۰ درصد باشد")</f>
        <v/>
      </c>
    </row>
    <row r="61" customFormat="false" ht="15" hidden="false" customHeight="false" outlineLevel="0" collapsed="false">
      <c r="A61" s="9" t="s">
        <v>222</v>
      </c>
      <c r="B61" s="10"/>
      <c r="C61" s="10"/>
      <c r="D61" s="10"/>
      <c r="E61" s="10"/>
      <c r="F61" s="10"/>
      <c r="G61" s="10"/>
    </row>
    <row r="62" customFormat="false" ht="15" hidden="false" customHeight="false" outlineLevel="0" collapsed="false">
      <c r="A62" s="5" t="s">
        <v>223</v>
      </c>
      <c r="B62" s="5" t="s">
        <v>213</v>
      </c>
      <c r="C62" s="5" t="s">
        <v>80</v>
      </c>
      <c r="D62" s="5" t="s">
        <v>215</v>
      </c>
    </row>
    <row r="63" customFormat="false" ht="16.4" hidden="false" customHeight="false" outlineLevel="0" collapsed="false">
      <c r="A63" s="6" t="s">
        <v>224</v>
      </c>
      <c r="B63" s="8" t="n">
        <f aca="false">MIN(B56:B58)</f>
        <v>1371</v>
      </c>
      <c r="C63" s="8" t="n">
        <f aca="false">B59</f>
        <v>2783.75</v>
      </c>
      <c r="D63" s="8" t="n">
        <f aca="false">MAX(B56:B58)</f>
        <v>3796</v>
      </c>
    </row>
    <row r="64" customFormat="false" ht="16.4" hidden="false" customHeight="false" outlineLevel="0" collapsed="false">
      <c r="A64" s="6" t="s">
        <v>225</v>
      </c>
      <c r="B64" s="8" t="n">
        <f aca="false">MIN(B42:D46)</f>
        <v>2164.12330420198</v>
      </c>
      <c r="C64" s="8" t="n">
        <f aca="false">B35</f>
        <v>2984.00366200438</v>
      </c>
      <c r="D64" s="8" t="n">
        <f aca="false">MAX(B42:D46)</f>
        <v>4828.05565368407</v>
      </c>
    </row>
    <row r="65" customFormat="false" ht="16.4" hidden="false" customHeight="false" outlineLevel="0" collapsed="false">
      <c r="A65" s="6" t="s">
        <v>226</v>
      </c>
      <c r="B65" s="8" t="n">
        <f aca="false">B52</f>
        <v>1839.902</v>
      </c>
      <c r="C65" s="8" t="n">
        <f aca="false">C52</f>
        <v>2343.6275</v>
      </c>
      <c r="D65" s="8" t="n">
        <f aca="false">D52</f>
        <v>2847.353</v>
      </c>
    </row>
    <row r="66" customFormat="false" ht="15" hidden="false" customHeight="false" outlineLevel="0" collapsed="false">
      <c r="A66" s="6" t="s">
        <v>227</v>
      </c>
      <c r="C66" s="8" t="n">
        <f aca="false">B36</f>
        <v>2000</v>
      </c>
    </row>
    <row r="68" customFormat="false" ht="16.4" hidden="false" customHeight="false" outlineLevel="0" collapsed="false">
      <c r="A68" s="2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2026-10-21T07:32:57Z</dcterms:created>
  <dc:creator>openpyxl</dc:creator>
  <dc:description/>
  <dc:language>en-US</dc:language>
  <cp:lastModifiedBy/>
  <dcterms:modified xsi:type="dcterms:W3CDTF">2026-10-21T07:32:57Z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